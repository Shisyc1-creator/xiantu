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23aa86d99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索引" sheetId="1" r:id="R4b9e0dc237fb4f04"/>
    <x:sheet xmlns:r="http://schemas.openxmlformats.org/officeDocument/2006/relationships" name="地理规模" sheetId="2" r:id="R539f736086cc4e19"/>
    <x:sheet xmlns:r="http://schemas.openxmlformats.org/officeDocument/2006/relationships" name="地点现状" sheetId="3" r:id="R9716116313b74200"/>
    <x:sheet xmlns:r="http://schemas.openxmlformats.org/officeDocument/2006/relationships" name="五十阶旧值" sheetId="4" r:id="Rb50fefaa59044e56"/>
    <x:sheet xmlns:r="http://schemas.openxmlformats.org/officeDocument/2006/relationships" name="修行复核" sheetId="5" r:id="Re2ea715be18c4af9"/>
    <x:sheet xmlns:r="http://schemas.openxmlformats.org/officeDocument/2006/relationships" name="数字纠错" sheetId="6" r:id="Raa54a668acfe4e73"/>
    <x:sheet xmlns:r="http://schemas.openxmlformats.org/officeDocument/2006/relationships" name="问题清单" sheetId="7" r:id="R12bd5301e2b54f1c"/>
    <x:sheet xmlns:r="http://schemas.openxmlformats.org/officeDocument/2006/relationships" name="旧资料索引" sheetId="8" r:id="Rc0c7182f7084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.00"/>
    <x:numFmt numFmtId="202" formatCode="0.0%"/>
    <x:numFmt numFmtId="203" formatCode="0.0000000%"/>
    <x:numFmt numFmtId="204" formatCode="0.00%"/>
  </x:numFmts>
  <x:fonts count="4">
    <x:font>
      <x:sz val="11"/>
      <x:name val="Carlito"/>
    </x:font>
    <x:font>
      <x:sz val="11"/>
      <x:color rgb="FF253340"/>
      <x:name val="Microsoft YaHei"/>
    </x:font>
    <x:font>
      <x:b/>
      <x:sz val="16"/>
      <x:color rgb="FF253340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44C56"/>
      </x:patternFill>
    </x:fill>
    <x:fill>
      <x:patternFill patternType="solid">
        <x:fgColor rgb="FFF0F4F3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f76d941fb4c58" /><Relationship Type="http://schemas.openxmlformats.org/officeDocument/2006/relationships/theme" Target="/xl/theme/theme1.xml" Id="R19483d8d60084035" /><Relationship Type="http://schemas.openxmlformats.org/officeDocument/2006/relationships/sharedStrings" Target="/xl/sharedStrings.xml" Id="R90e79a03a7a84f41" /><Relationship Type="http://schemas.openxmlformats.org/officeDocument/2006/relationships/worksheet" Target="/xl/worksheets/sheet1.xml" Id="R4b9e0dc237fb4f04" /><Relationship Type="http://schemas.openxmlformats.org/officeDocument/2006/relationships/worksheet" Target="/xl/worksheets/sheet2.xml" Id="R539f736086cc4e19" /><Relationship Type="http://schemas.openxmlformats.org/officeDocument/2006/relationships/worksheet" Target="/xl/worksheets/sheet3.xml" Id="R9716116313b74200" /><Relationship Type="http://schemas.openxmlformats.org/officeDocument/2006/relationships/worksheet" Target="/xl/worksheets/sheet4.xml" Id="Rb50fefaa59044e56" /><Relationship Type="http://schemas.openxmlformats.org/officeDocument/2006/relationships/worksheet" Target="/xl/worksheets/sheet5.xml" Id="Re2ea715be18c4af9" /><Relationship Type="http://schemas.openxmlformats.org/officeDocument/2006/relationships/worksheet" Target="/xl/worksheets/sheet6.xml" Id="Raa54a668acfe4e73" /><Relationship Type="http://schemas.openxmlformats.org/officeDocument/2006/relationships/worksheet" Target="/xl/worksheets/sheet7.xml" Id="R12bd5301e2b54f1c" /><Relationship Type="http://schemas.openxmlformats.org/officeDocument/2006/relationships/worksheet" Target="/xl/worksheets/sheet8.xml" Id="Rc0c7182f70844d20" /></Relationships>
</file>

<file path=xl/tables/table1.xml><?xml version="1.0" encoding="utf-8"?>
<x:table xmlns:x="http://schemas.openxmlformats.org/spreadsheetml/2006/main" id="1" name="Data1" displayName="Data1" ref="A4:F24" headerRowCount="1" totalsRowCount="0" totalsRowShown="0">
  <x:tableColumns count="6">
    <x:tableColumn id="1" name="ID"/>
    <x:tableColumn id="2" name="主题"/>
    <x:tableColumn id="3" name="规则"/>
    <x:tableColumn id="4" name="状态"/>
    <x:tableColumn id="5" name="执行边界"/>
    <x:tableColumn id="6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4:E18" headerRowCount="1" totalsRowCount="0" totalsRowShown="0">
  <x:tableColumns count="5">
    <x:tableColumn id="1" name="项目"/>
    <x:tableColumn id="2" name="数量或范围"/>
    <x:tableColumn id="3" name="口径"/>
    <x:tableColumn id="4" name="游戏呈现"/>
    <x:tableColumn id="5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4:G15" headerRowCount="1" totalsRowCount="0" totalsRowShown="0">
  <x:tableColumns count="7">
    <x:tableColumn id="1" name="ID"/>
    <x:tableColumn id="2" name="名称"/>
    <x:tableColumn id="3" name="类型"/>
    <x:tableColumn id="4" name="灵气"/>
    <x:tableColumn id="5" name="控制者字段"/>
    <x:tableColumn id="6" name="交易类型判定"/>
    <x:tableColumn id="7" name="验证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4:F54" headerRowCount="1" totalsRowCount="0" totalsRowShown="0">
  <x:tableColumns count="6">
    <x:tableColumn id="1" name="境界"/>
    <x:tableColumn id="2" name="小阶"/>
    <x:tableColumn id="3" name="寿限（年）"/>
    <x:tableColumn id="4" name="单阶需求（灵）"/>
    <x:tableColumn id="5" name="旧基础成功率"/>
    <x:tableColumn id="6" name="使用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4:G13" headerRowCount="1" totalsRowCount="0" totalsRowShown="0">
  <x:tableColumns count="7">
    <x:tableColumn id="1" name="境界"/>
    <x:tableColumn id="2" name="段内需求"/>
    <x:tableColumn id="3" name="基准年产"/>
    <x:tableColumn id="4" name="段内年数"/>
    <x:tableColumn id="5" name="完成年龄"/>
    <x:tableColumn id="6" name="寿限"/>
    <x:tableColumn id="7" name="剩余年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4:F11" headerRowCount="1" totalsRowCount="0" totalsRowShown="0">
  <x:tableColumns count="6">
    <x:tableColumn id="1" name="项目"/>
    <x:tableColumn id="2" name="输入一"/>
    <x:tableColumn id="3" name="输入二"/>
    <x:tableColumn id="4" name="输入三"/>
    <x:tableColumn id="5" name="复核结果"/>
    <x:tableColumn id="6" name="结果含义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7" displayName="Data7" ref="A4:E31" headerRowCount="1" totalsRowCount="0" totalsRowShown="0">
  <x:tableColumns count="5">
    <x:tableColumn id="1" name="编号"/>
    <x:tableColumn id="2" name="证据或冲突"/>
    <x:tableColumn id="3" name="问题"/>
    <x:tableColumn id="4" name="修改方向"/>
    <x:tableColumn id="5" name="进度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8" displayName="Data8" ref="A4:E33" headerRowCount="1" totalsRowCount="0" totalsRowShown="0">
  <x:tableColumns count="5">
    <x:tableColumn id="1" name="原工作表"/>
    <x:tableColumn id="2" name="原行数"/>
    <x:tableColumn id="3" name="本次处理"/>
    <x:tableColumn id="4" name="原件"/>
    <x:tableColumn id="5" name="采用原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fe6426a46949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1586c9fba84c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3fc70b14564e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9ed6c0cf4249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f9e7d196414a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3a60fa5bb341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d683452d904f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9d2be78782e40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75" hidden="0" customWidth="1"/>
    <x:col min="2" max="2" width="13.75" hidden="0" customWidth="1"/>
    <x:col min="3" max="3" width="37.5" hidden="0" customWidth="1"/>
    <x:col min="4" max="4" width="18.75" hidden="0" customWidth="1"/>
    <x:col min="5" max="5" width="38.75" hidden="0" customWidth="1"/>
    <x:col min="6" max="6" width="30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仙途 · 设定规则索引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ID</x:v>
      </x:c>
      <x:c r="B4" s="7" t="str">
        <x:v>主题</x:v>
      </x:c>
      <x:c r="C4" s="7" t="str">
        <x:v>规则</x:v>
      </x:c>
      <x:c r="D4" s="7" t="str">
        <x:v>状态</x:v>
      </x:c>
      <x:c r="E4" s="7" t="str">
        <x:v>执行边界</x:v>
      </x:c>
      <x:c r="F4" s="7" t="str">
        <x:v>来源</x:v>
      </x:c>
    </x:row>
    <x:row r="5" ht="33" customHeight="1">
      <x:c r="A5" s="8" t="str">
        <x:v>S01</x:v>
      </x:c>
      <x:c r="B5" s="8" t="str">
        <x:v>世界规模</x:v>
      </x:c>
      <x:c r="C5" s="8" t="str">
        <x:v>凡界324府、3240县，保留为背景</x:v>
      </x:c>
      <x:c r="D5" s="8" t="str">
        <x:v>沿用＋呈现建议</x:v>
      </x:c>
      <x:c r="E5" s="8" t="str">
        <x:v>登记数是历史截面，不逐县制作</x:v>
      </x:c>
      <x:c r="F5" s="8" t="str">
        <x:v>世界密度；总案§2</x:v>
      </x:c>
    </x:row>
    <x:row r="6" ht="33" customHeight="1">
      <x:c r="A6" s="9" t="str">
        <x:v>S02</x:v>
      </x:c>
      <x:c r="B6" s="9" t="str">
        <x:v>区划</x:v>
      </x:c>
      <x:c r="C6" s="9" t="str">
        <x:v>九州为地理文化区，府县属于诸国</x:v>
      </x:c>
      <x:c r="D6" s="9" t="str">
        <x:v>沿用</x:v>
      </x:c>
      <x:c r="E6" s="9" t="str">
        <x:v>国家、地理州、行政上级分字段</x:v>
      </x:c>
      <x:c r="F6" s="9" t="str">
        <x:v>地图设定；总案§2</x:v>
      </x:c>
    </x:row>
    <x:row r="7" ht="33" customHeight="1">
      <x:c r="A7" s="8" t="str">
        <x:v>S03</x:v>
      </x:c>
      <x:c r="B7" s="8" t="str">
        <x:v>制作范围</x:v>
      </x:c>
      <x:c r="C7" s="8" t="str">
        <x:v>先完善现有11项地点</x:v>
      </x:c>
      <x:c r="D7" s="8" t="str">
        <x:v>建议</x:v>
      </x:c>
      <x:c r="E7" s="8" t="str">
        <x:v>近期12–20关键人物、3条后果链</x:v>
      </x:c>
      <x:c r="F7" s="8" t="str">
        <x:v>总案§2.3</x:v>
      </x:c>
    </x:row>
    <x:row r="8" ht="33" customHeight="1">
      <x:c r="A8" s="9" t="str">
        <x:v>S04</x:v>
      </x:c>
      <x:c r="B8" s="9" t="str">
        <x:v>修行结构</x:v>
      </x:c>
      <x:c r="C8" s="9" t="str">
        <x:v>九境五十阶；飞升为终局</x:v>
      </x:c>
      <x:c r="D8" s="9" t="str">
        <x:v>后续文档所载方向</x:v>
      </x:c>
      <x:c r="E8" s="9" t="str">
        <x:v>13＋7×4＋9；不承诺上界二周目</x:v>
      </x:c>
      <x:c r="F8" s="9" t="str">
        <x:v>多境界扩展§9</x:v>
      </x:c>
    </x:row>
    <x:row r="9" ht="51" customHeight="1">
      <x:c r="A9" s="8" t="str">
        <x:v>S05</x:v>
      </x:c>
      <x:c r="B9" s="8" t="str">
        <x:v>灵根</x:v>
      </x:c>
      <x:c r="C9" s="8" t="str">
        <x:v>资质影响速度，不作绝对境界封锁</x:v>
      </x:c>
      <x:c r="D9" s="8" t="str">
        <x:v>后续文档所载方向</x:v>
      </x:c>
      <x:c r="E9" s="8" t="str">
        <x:v>代码仍保留顺势cap限制</x:v>
      </x:c>
      <x:c r="F9" s="8" t="str">
        <x:v>多境界扩展；naturalBreakAllowed</x:v>
      </x:c>
    </x:row>
    <x:row r="10" ht="51" customHeight="1">
      <x:c r="A10" s="9" t="str">
        <x:v>S06</x:v>
      </x:c>
      <x:c r="B10" s="9" t="str">
        <x:v>效率参数</x:v>
      </x:c>
      <x:c r="C10" s="9" t="str">
        <x:v>两套历史候选，尚需模拟</x:v>
      </x:c>
      <x:c r="D10" s="9" t="str">
        <x:v>待核定</x:v>
      </x:c>
      <x:c r="E10" s="9" t="str">
        <x:v>0.90–1.00与0.55–1.20不混用</x:v>
      </x:c>
      <x:c r="F10" s="9" t="str">
        <x:v>扩展方案§3；资质方案§3</x:v>
      </x:c>
    </x:row>
    <x:row r="11" ht="33" customHeight="1">
      <x:c r="A11" s="8" t="str">
        <x:v>S07</x:v>
      </x:c>
      <x:c r="B11" s="8" t="str">
        <x:v>寿元</x:v>
      </x:c>
      <x:c r="C11" s="8" t="str">
        <x:v>总年龄上限，不是突破后重新计时</x:v>
      </x:c>
      <x:c r="D11" s="8" t="str">
        <x:v>建议明确</x:v>
      </x:c>
      <x:c r="E11" s="8" t="str">
        <x:v>延寿、折寿、经过时间分开</x:v>
      </x:c>
      <x:c r="F11" s="8" t="str">
        <x:v>境界总表；总案§4</x:v>
      </x:c>
    </x:row>
    <x:row r="12" ht="51" customHeight="1">
      <x:c r="A12" s="9" t="str">
        <x:v>S08</x:v>
      </x:c>
      <x:c r="B12" s="9" t="str">
        <x:v>八道统</x:v>
      </x:c>
      <x:c r="C12" s="9" t="str">
        <x:v>道门、佛门、儒门、体修、魔道、剑修、丹鼎、器阵</x:v>
      </x:c>
      <x:c r="D12" s="9" t="str">
        <x:v>沿用</x:v>
      </x:c>
      <x:c r="E12" s="9" t="str">
        <x:v>组织、传承、战斗标签分开</x:v>
      </x:c>
      <x:c r="F12" s="9" t="str">
        <x:v>道统与主宗</x:v>
      </x:c>
    </x:row>
    <x:row r="13" ht="33" customHeight="1">
      <x:c r="A13" s="8" t="str">
        <x:v>S09</x:v>
      </x:c>
      <x:c r="B13" s="8" t="str">
        <x:v>儒门</x:v>
      </x:c>
      <x:c r="C13" s="8" t="str">
        <x:v>修为依文脉，不以官位为根</x:v>
      </x:c>
      <x:c r="D13" s="8" t="str">
        <x:v>沿用较新口径</x:v>
      </x:c>
      <x:c r="E13" s="8" t="str">
        <x:v>不占灵眼，跨界可借协议通道（建议）</x:v>
      </x:c>
      <x:c r="F13" s="8" t="str">
        <x:v>宗门与政体</x:v>
      </x:c>
    </x:row>
    <x:row r="14" ht="33" customHeight="1">
      <x:c r="A14" s="9" t="str">
        <x:v>S10</x:v>
      </x:c>
      <x:c r="B14" s="9" t="str">
        <x:v>九灵眼</x:v>
      </x:c>
      <x:c r="C14" s="9" t="str">
        <x:v>跨界通道；七道统＋共管＋空关</x:v>
      </x:c>
      <x:c r="D14" s="9" t="str">
        <x:v>沿用</x:v>
      </x:c>
      <x:c r="E14" s="9" t="str">
        <x:v>具体道统归属仍待补，不等于九席</x:v>
      </x:c>
      <x:c r="F14" s="9" t="str">
        <x:v>地图设定；EYES</x:v>
      </x:c>
    </x:row>
    <x:row r="15" ht="33" customHeight="1">
      <x:c r="A15" s="8" t="str">
        <x:v>S11</x:v>
      </x:c>
      <x:c r="B15" s="8" t="str">
        <x:v>渡界</x:v>
      </x:c>
      <x:c r="C15" s="8" t="str">
        <x:v>结丹以上可申请</x:v>
      </x:c>
      <x:c r="D15" s="8" t="str">
        <x:v>沿用</x:v>
      </x:c>
      <x:c r="E15" s="8" t="str">
        <x:v>费用、硬闯成功率待重算</x:v>
      </x:c>
      <x:c r="F15" s="8" t="str">
        <x:v>地图设定</x:v>
      </x:c>
    </x:row>
    <x:row r="16" ht="33" customHeight="1">
      <x:c r="A16" s="9" t="str">
        <x:v>S12</x:v>
      </x:c>
      <x:c r="B16" s="9" t="str">
        <x:v>九席</x:v>
      </x:c>
      <x:c r="C16" s="9" t="str">
        <x:v>同时最多九位渡劫修士</x:v>
      </x:c>
      <x:c r="D16" s="9" t="str">
        <x:v>既有建议稿</x:v>
      </x:c>
      <x:c r="E16" s="9" t="str">
        <x:v>入境占席、飞升释席为本次统一建议</x:v>
      </x:c>
      <x:c r="F16" s="9" t="str">
        <x:v>渡劫九席；总案§4.4</x:v>
      </x:c>
    </x:row>
    <x:row r="17" ht="33" customHeight="1">
      <x:c r="A17" s="8" t="str">
        <x:v>S13</x:v>
      </x:c>
      <x:c r="B17" s="8" t="str">
        <x:v>高阶生存</x:v>
      </x:c>
      <x:c r="C17" s="8" t="str">
        <x:v>低于环境门槛时不能正常修炼</x:v>
      </x:c>
      <x:c r="D17" s="8" t="str">
        <x:v>沿用</x:v>
      </x:c>
      <x:c r="E17" s="8" t="str">
        <x:v>返凡界按环境判断，不一律惩罚</x:v>
      </x:c>
      <x:c r="F17" s="8" t="str">
        <x:v>灵气门槛与分布</x:v>
      </x:c>
    </x:row>
    <x:row r="18" ht="51" customHeight="1">
      <x:c r="A18" s="9" t="str">
        <x:v>S14</x:v>
      </x:c>
      <x:c r="B18" s="9" t="str">
        <x:v>时间</x:v>
      </x:c>
      <x:c r="C18" s="9" t="str">
        <x:v>统一动作推进世界钟和角色年龄</x:v>
      </x:c>
      <x:c r="D18" s="9" t="str">
        <x:v>建议</x:v>
      </x:c>
      <x:c r="E18" s="9" t="str">
        <x:v>有收益动作耗时，查看界面免费</x:v>
      </x:c>
      <x:c r="F18" s="9" t="str">
        <x:v>advanceDays；总案§5</x:v>
      </x:c>
    </x:row>
    <x:row r="19" ht="33" customHeight="1">
      <x:c r="A19" s="8" t="str">
        <x:v>S15</x:v>
      </x:c>
      <x:c r="B19" s="8" t="str">
        <x:v>传承</x:v>
      </x:c>
      <x:c r="C19" s="8" t="str">
        <x:v>资产知识关系延续，不传修为</x:v>
      </x:c>
      <x:c r="D19" s="8" t="str">
        <x:v>沿用</x:v>
      </x:c>
      <x:c r="E19" s="8" t="str">
        <x:v>意外死亡接棒范围待定</x:v>
      </x:c>
      <x:c r="F19" s="8" t="str">
        <x:v>总案§5.4</x:v>
      </x:c>
    </x:row>
    <x:row r="20" ht="33" customHeight="1">
      <x:c r="A20" s="9" t="str">
        <x:v>S16</x:v>
      </x:c>
      <x:c r="B20" s="9" t="str">
        <x:v>遗传</x:v>
      </x:c>
      <x:c r="C20" s="9" t="str">
        <x:v>同一自然规律，不因人物有无名字改变</x:v>
      </x:c>
      <x:c r="D20" s="9" t="str">
        <x:v>建议</x:v>
      </x:c>
      <x:c r="E20" s="9" t="str">
        <x:v>背景抽样仅为模拟近似</x:v>
      </x:c>
      <x:c r="F20" s="9" t="str">
        <x:v>血脉遗传；总案§5.4</x:v>
      </x:c>
    </x:row>
    <x:row r="21" ht="33" customHeight="1">
      <x:c r="A21" s="8" t="str">
        <x:v>S17</x:v>
      </x:c>
      <x:c r="B21" s="8" t="str">
        <x:v>人口</x:v>
      </x:c>
      <x:c r="C21" s="8" t="str">
        <x:v>十亿人口、数十万修士为背景量级</x:v>
      </x:c>
      <x:c r="D21" s="8" t="str">
        <x:v>待重算</x:v>
      </x:c>
      <x:c r="E21" s="8" t="str">
        <x:v>出生灵根率与在世修士存量分开</x:v>
      </x:c>
      <x:c r="F21" s="8" t="str">
        <x:v>世界密度；审查N01–03</x:v>
      </x:c>
    </x:row>
    <x:row r="22" ht="33" customHeight="1">
      <x:c r="A22" s="9" t="str">
        <x:v>S18</x:v>
      </x:c>
      <x:c r="B22" s="9" t="str">
        <x:v>经济</x:v>
      </x:c>
      <x:c r="C22" s="9" t="str">
        <x:v>取消无限固定衰退作为已验证默认值</x:v>
      </x:c>
      <x:c r="D22" s="9" t="str">
        <x:v>建议</x:v>
      </x:c>
      <x:c r="E22" s="9" t="str">
        <x:v>区域变化、供需与可恢复周期</x:v>
      </x:c>
      <x:c r="F22" s="9" t="str">
        <x:v>审查N10–11</x:v>
      </x:c>
    </x:row>
    <x:row r="23" ht="33" customHeight="1">
      <x:c r="A23" s="8" t="str">
        <x:v>S19</x:v>
      </x:c>
      <x:c r="B23" s="8" t="str">
        <x:v>小说正史</x:v>
      </x:c>
      <x:c r="C23" s="8" t="str">
        <x:v>同世界独立故事</x:v>
      </x:c>
      <x:c r="D23" s="8" t="str">
        <x:v>建议</x:v>
      </x:c>
      <x:c r="E23" s="8" t="str">
        <x:v>主角、纪年、各卷跨度尚未定</x:v>
      </x:c>
      <x:c r="F23" s="8" t="str">
        <x:v>小说工作簿</x:v>
      </x:c>
    </x:row>
    <x:row r="24" ht="51" customHeight="1">
      <x:c r="A24" s="9" t="str">
        <x:v>S20</x:v>
      </x:c>
      <x:c r="B24" s="9" t="str">
        <x:v>资料优先级</x:v>
      </x:c>
      <x:c r="C24" s="9" t="str">
        <x:v>总案解释规则；总表索引条目</x:v>
      </x:c>
      <x:c r="D24" s="9" t="str">
        <x:v>整理约定</x:v>
      </x:c>
      <x:c r="E24" s="9" t="str">
        <x:v>旧29页总表保留在归档；不是当前数值配置</x:v>
      </x:c>
      <x:c r="F24" s="9" t="str">
        <x:v>总案§8</x:v>
      </x:c>
    </x:row>
  </x:sheetData>
  <x:pageMargins left="0.7" right="0.7" top="0.75" bottom="0.75" header="0.3" footer="0.3"/>
  <x:tableParts count="1">
    <x:tablePart xmlns:r="http://schemas.openxmlformats.org/officeDocument/2006/relationships" r:id="R32fe6426a46949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41.25" hidden="0" customWidth="1"/>
    <x:col min="4" max="4" width="42.5" hidden="0" customWidth="1"/>
    <x:col min="5" max="5" width="26.2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世界背景与制作范围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2" customHeight="1">
      <x:c r="A4" s="7" t="str">
        <x:v>项目</x:v>
      </x:c>
      <x:c r="B4" s="7" t="str">
        <x:v>数量或范围</x:v>
      </x:c>
      <x:c r="C4" s="7" t="str">
        <x:v>口径</x:v>
      </x:c>
      <x:c r="D4" s="7" t="str">
        <x:v>游戏呈现</x:v>
      </x:c>
      <x:c r="E4" s="7" t="str">
        <x:v>来源</x:v>
      </x:c>
    </x:row>
    <x:row r="5" ht="33" customHeight="1">
      <x:c r="A5" s="8" t="str">
        <x:v>凡界人口</x:v>
      </x:c>
      <x:c r="B5" s="10" t="n">
        <x:v>1000000000</x:v>
      </x:c>
      <x:c r="C5" s="8" t="str">
        <x:v>旧设约数</x:v>
      </x:c>
      <x:c r="D5" s="8" t="str">
        <x:v>地志背景，不模拟全部人口</x:v>
      </x:c>
      <x:c r="E5" s="8" t="str">
        <x:v>世界密度</x:v>
      </x:c>
    </x:row>
    <x:row r="6" ht="33" customHeight="1">
      <x:c r="A6" s="9" t="str">
        <x:v>地理州</x:v>
      </x:c>
      <x:c r="B6" s="11" t="n">
        <x:v>9</x:v>
      </x:c>
      <x:c r="C6" s="9" t="str">
        <x:v>冀兖青徐扬荆豫梁雍</x:v>
      </x:c>
      <x:c r="D6" s="9" t="str">
        <x:v>区域概览，不均分府县</x:v>
      </x:c>
      <x:c r="E6" s="9" t="str">
        <x:v>地图设定</x:v>
      </x:c>
    </x:row>
    <x:row r="7" ht="33" customHeight="1">
      <x:c r="A7" s="8" t="str">
        <x:v>府</x:v>
      </x:c>
      <x:c r="B7" s="10" t="n">
        <x:v>324</x:v>
      </x:c>
      <x:c r="C7" s="8" t="str">
        <x:v>地志登记规模（建议解释）</x:v>
      </x:c>
      <x:c r="D7" s="8" t="str">
        <x:v>只命名故事涉及的府</x:v>
      </x:c>
      <x:c r="E7" s="8" t="str">
        <x:v>世界密度</x:v>
      </x:c>
    </x:row>
    <x:row r="8" ht="33" customHeight="1">
      <x:c r="A8" s="9" t="str">
        <x:v>县</x:v>
      </x:c>
      <x:c r="B8" s="11" t="n">
        <x:v>3240</x:v>
      </x:c>
      <x:c r="C8" s="9" t="str">
        <x:v>地志登记规模（建议解释）</x:v>
      </x:c>
      <x:c r="D8" s="9" t="str">
        <x:v>不生成3240个可点击节点</x:v>
      </x:c>
      <x:c r="E8" s="9" t="str">
        <x:v>世界密度</x:v>
      </x:c>
    </x:row>
    <x:row r="9" ht="33" customHeight="1">
      <x:c r="A9" s="8" t="str">
        <x:v>平均每州府数</x:v>
      </x:c>
      <x:c r="B9" s="10" t="n">
        <x:f>B7/B6</x:f>
        <x:v>36</x:v>
      </x:c>
      <x:c r="C9" s="8" t="str">
        <x:v>算术平均，不是配置配额</x:v>
      </x:c>
      <x:c r="D9" s="8" t="str">
        <x:v>每州可不等</x:v>
      </x:c>
      <x:c r="E9" s="8" t="str">
        <x:v>本表推算</x:v>
      </x:c>
    </x:row>
    <x:row r="10" ht="33" customHeight="1">
      <x:c r="A10" s="9" t="str">
        <x:v>平均每府县数</x:v>
      </x:c>
      <x:c r="B10" s="11" t="n">
        <x:f>B8/B7</x:f>
        <x:v>10</x:v>
      </x:c>
      <x:c r="C10" s="9" t="str">
        <x:v>算术平均，不是配置配额</x:v>
      </x:c>
      <x:c r="D10" s="9" t="str">
        <x:v>各府可不等</x:v>
      </x:c>
      <x:c r="E10" s="9" t="str">
        <x:v>本表推算</x:v>
      </x:c>
    </x:row>
    <x:row r="11" ht="33" customHeight="1">
      <x:c r="A11" s="8" t="str">
        <x:v>平均县辖人口</x:v>
      </x:c>
      <x:c r="B11" s="12" t="n">
        <x:f>B5/B8</x:f>
        <x:v>308641.97530864197</x:v>
      </x:c>
      <x:c r="C11" s="8" t="str">
        <x:v>全县含城镇乡村</x:v>
      </x:c>
      <x:c r="D11" s="8" t="str">
        <x:v>不等于县城人口</x:v>
      </x:c>
      <x:c r="E11" s="8" t="str">
        <x:v>本表推算</x:v>
      </x:c>
    </x:row>
    <x:row r="12" ht="33" customHeight="1">
      <x:c r="A12" s="9" t="str">
        <x:v>凡界修士分项和</x:v>
      </x:c>
      <x:c r="B12" s="11" t="n">
        <x:v>242460</x:v>
      </x:c>
      <x:c r="C12" s="9" t="str">
        <x:v>194000＋46000＋2400＋60</x:v>
      </x:c>
      <x:c r="D12" s="9" t="str">
        <x:v>旧分项近似；与243000差540</x:v>
      </x:c>
      <x:c r="E12" s="9" t="str">
        <x:v>世界密度</x:v>
      </x:c>
    </x:row>
    <x:row r="13" ht="33" customHeight="1">
      <x:c r="A13" s="8" t="str">
        <x:v>灵界人口</x:v>
      </x:c>
      <x:c r="B13" s="10" t="n">
        <x:v>20000000</x:v>
      </x:c>
      <x:c r="C13" s="8" t="str">
        <x:v>旧设约数</x:v>
      </x:c>
      <x:c r="D13" s="8" t="str">
        <x:v>背景</x:v>
      </x:c>
      <x:c r="E13" s="8" t="str">
        <x:v>地图设定</x:v>
      </x:c>
    </x:row>
    <x:row r="14" ht="33" customHeight="1">
      <x:c r="A14" s="9" t="str">
        <x:v>灵界地理域</x:v>
      </x:c>
      <x:c r="B14" s="11" t="n">
        <x:v>5</x:v>
      </x:c>
      <x:c r="C14" s="9" t="str">
        <x:v>中州、北原、西漠、东荒、南疆</x:v>
      </x:c>
      <x:c r="D14" s="9" t="str">
        <x:v>按篇章展开</x:v>
      </x:c>
      <x:c r="E14" s="9" t="str">
        <x:v>地图设定</x:v>
      </x:c>
    </x:row>
    <x:row r="15" ht="33" customHeight="1">
      <x:c r="A15" s="8" t="str">
        <x:v>九灵眼</x:v>
      </x:c>
      <x:c r="B15" s="10" t="n">
        <x:v>9</x:v>
      </x:c>
      <x:c r="C15" s="8" t="str">
        <x:v>通道，不是渡劫名额</x:v>
      </x:c>
      <x:c r="D15" s="8" t="str">
        <x:v>概览与可达节点分开</x:v>
      </x:c>
      <x:c r="E15" s="8" t="str">
        <x:v>EYES</x:v>
      </x:c>
    </x:row>
    <x:row r="16" ht="33" customHeight="1">
      <x:c r="A16" s="9" t="str">
        <x:v>现有地点数据项</x:v>
      </x:c>
      <x:c r="B16" s="11" t="n">
        <x:v>11</x:v>
      </x:c>
      <x:c r="C16" s="9" t="str">
        <x:v>不等于已验收可玩地点</x:v>
      </x:c>
      <x:c r="D16" s="9" t="str">
        <x:v>先完善现有节点</x:v>
      </x:c>
      <x:c r="E16" s="9" t="str">
        <x:v>当前PLACES</x:v>
      </x:c>
    </x:row>
    <x:row r="17" ht="33" customHeight="1">
      <x:c r="A17" s="8" t="str">
        <x:v>近期关键人物</x:v>
      </x:c>
      <x:c r="B17" s="8" t="str">
        <x:v>12–20</x:v>
      </x:c>
      <x:c r="C17" s="8" t="str">
        <x:v>本次内容预算建议</x:v>
      </x:c>
      <x:c r="D17" s="8" t="str">
        <x:v>具体人物与事件链</x:v>
      </x:c>
      <x:c r="E17" s="8" t="str">
        <x:v>总案§2.3</x:v>
      </x:c>
    </x:row>
    <x:row r="18" ht="33" customHeight="1">
      <x:c r="A18" s="9" t="str">
        <x:v>后期总节点预算</x:v>
      </x:c>
      <x:c r="B18" s="9" t="str">
        <x:v>30–50</x:v>
      </x:c>
      <x:c r="C18" s="9" t="str">
        <x:v>建议范围，可按篇章调整</x:v>
      </x:c>
      <x:c r="D18" s="9" t="str">
        <x:v>重差异与后果，不求地图总量</x:v>
      </x:c>
      <x:c r="E18" s="9" t="str">
        <x:v>总案§2.3</x:v>
      </x:c>
    </x:row>
  </x:sheetData>
  <x:pageMargins left="0.7" right="0.7" top="0.75" bottom="0.75" header="0.3" footer="0.3"/>
  <x:tableParts count="1">
    <x:tablePart xmlns:r="http://schemas.openxmlformats.org/officeDocument/2006/relationships" r:id="Rc61586c9fba84c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.3799991607666" hidden="0" customWidth="1"/>
    <x:col min="2" max="2" width="21.25" hidden="0" customWidth="1"/>
    <x:col min="3" max="3" width="13.75" hidden="0" customWidth="1"/>
    <x:col min="4" max="4" width="11.25" hidden="0" customWidth="1"/>
    <x:col min="5" max="5" width="26.25" hidden="0" customWidth="1"/>
    <x:col min="6" max="6" width="22.5" hidden="0" customWidth="1"/>
    <x:col min="7" max="7" width="37.5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当前原型 · 11项地点数据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7" t="str">
        <x:v>ID</x:v>
      </x:c>
      <x:c r="B4" s="7" t="str">
        <x:v>名称</x:v>
      </x:c>
      <x:c r="C4" s="7" t="str">
        <x:v>类型</x:v>
      </x:c>
      <x:c r="D4" s="7" t="str">
        <x:v>灵气</x:v>
      </x:c>
      <x:c r="E4" s="7" t="str">
        <x:v>控制者字段</x:v>
      </x:c>
      <x:c r="F4" s="7" t="str">
        <x:v>交易类型判定</x:v>
      </x:c>
      <x:c r="G4" s="7" t="str">
        <x:v>验证状态</x:v>
      </x:c>
    </x:row>
    <x:row r="5" ht="33" customHeight="1">
      <x:c r="A5" s="8" t="str">
        <x:v>village</x:v>
      </x:c>
      <x:c r="B5" s="8" t="str">
        <x:v>{乡}</x:v>
      </x:c>
      <x:c r="C5" s="8" t="str">
        <x:v>村</x:v>
      </x:c>
      <x:c r="D5" s="8" t="n">
        <x:v>1</x:v>
      </x:c>
      <x:c r="E5" s="8" t="str">
        <x:v>未标明</x:v>
      </x:c>
      <x:c r="F5" s="8" t="str">
        <x:v>当前判断不允许</x:v>
      </x:c>
      <x:c r="G5" s="8" t="str">
        <x:v>有数据；旅行/内容未逐点验收</x:v>
      </x:c>
    </x:row>
    <x:row r="6" ht="33" customHeight="1">
      <x:c r="A6" s="9" t="str">
        <x:v>ridge</x:v>
      </x:c>
      <x:c r="B6" s="9" t="str">
        <x:v>黑风岭</x:v>
      </x:c>
      <x:c r="C6" s="9" t="str">
        <x:v>野地</x:v>
      </x:c>
      <x:c r="D6" s="9" t="n">
        <x:v>1.1</x:v>
      </x:c>
      <x:c r="E6" s="9" t="str">
        <x:v>未标明</x:v>
      </x:c>
      <x:c r="F6" s="9" t="str">
        <x:v>当前判断不允许</x:v>
      </x:c>
      <x:c r="G6" s="9" t="str">
        <x:v>有数据；旅行/内容未逐点验收</x:v>
      </x:c>
    </x:row>
    <x:row r="7" ht="33" customHeight="1">
      <x:c r="A7" s="8" t="str">
        <x:v>county</x:v>
      </x:c>
      <x:c r="B7" s="8" t="str">
        <x:v>青石县</x:v>
      </x:c>
      <x:c r="C7" s="8" t="str">
        <x:v>城</x:v>
      </x:c>
      <x:c r="D7" s="8" t="n">
        <x:v>0.7</x:v>
      </x:c>
      <x:c r="E7" s="8" t="str">
        <x:v>县衙</x:v>
      </x:c>
      <x:c r="F7" s="8" t="str">
        <x:v>当前判断允许</x:v>
      </x:c>
      <x:c r="G7" s="8" t="str">
        <x:v>有数据；旅行/内容未逐点验收</x:v>
      </x:c>
    </x:row>
    <x:row r="8" ht="33" customHeight="1">
      <x:c r="A8" s="9" t="str">
        <x:v>market</x:v>
      </x:c>
      <x:c r="B8" s="9" t="str">
        <x:v>城南坊市</x:v>
      </x:c>
      <x:c r="C8" s="9" t="str">
        <x:v>市</x:v>
      </x:c>
      <x:c r="D8" s="9" t="n">
        <x:v>0.6</x:v>
      </x:c>
      <x:c r="E8" s="9" t="str">
        <x:v>散修自管</x:v>
      </x:c>
      <x:c r="F8" s="9" t="str">
        <x:v>当前判断允许</x:v>
      </x:c>
      <x:c r="G8" s="9" t="str">
        <x:v>有数据；旅行/内容未逐点验收</x:v>
      </x:c>
    </x:row>
    <x:row r="9" ht="33" customHeight="1">
      <x:c r="A9" s="8" t="str">
        <x:v>temple</x:v>
      </x:c>
      <x:c r="B9" s="8" t="str">
        <x:v>{观}</x:v>
      </x:c>
      <x:c r="C9" s="8" t="str">
        <x:v>山门</x:v>
      </x:c>
      <x:c r="D9" s="8" t="n">
        <x:v>1.8</x:v>
      </x:c>
      <x:c r="E9" s="8" t="str">
        <x:v>道门·小宗</x:v>
      </x:c>
      <x:c r="F9" s="8" t="str">
        <x:v>当前判断不允许</x:v>
      </x:c>
      <x:c r="G9" s="8" t="str">
        <x:v>有数据；旅行/内容未逐点验收</x:v>
      </x:c>
    </x:row>
    <x:row r="10" ht="33" customHeight="1">
      <x:c r="A10" s="9" t="str">
        <x:v>cliff</x:v>
      </x:c>
      <x:c r="B10" s="9" t="str">
        <x:v>断云崖</x:v>
      </x:c>
      <x:c r="C10" s="9" t="str">
        <x:v>野地</x:v>
      </x:c>
      <x:c r="D10" s="9" t="n">
        <x:v>2</x:v>
      </x:c>
      <x:c r="E10" s="9" t="str">
        <x:v>未标明</x:v>
      </x:c>
      <x:c r="F10" s="9" t="str">
        <x:v>当前判断不允许</x:v>
      </x:c>
      <x:c r="G10" s="9" t="str">
        <x:v>有数据；旅行/内容未逐点验收</x:v>
      </x:c>
    </x:row>
    <x:row r="11" ht="51" customHeight="1">
      <x:c r="A11" s="8" t="str">
        <x:v>prefecture</x:v>
      </x:c>
      <x:c r="B11" s="8" t="str">
        <x:v>云安府城</x:v>
      </x:c>
      <x:c r="C11" s="8" t="str">
        <x:v>府城</x:v>
      </x:c>
      <x:c r="D11" s="8" t="n">
        <x:v>0.8</x:v>
      </x:c>
      <x:c r="E11" s="8" t="str">
        <x:v>府衙 + 万宝楼分号</x:v>
      </x:c>
      <x:c r="F11" s="8" t="str">
        <x:v>当前判断不允许</x:v>
      </x:c>
      <x:c r="G11" s="8" t="str">
        <x:v>有数据；旅行/内容未逐点验收</x:v>
      </x:c>
    </x:row>
    <x:row r="12" ht="33" customHeight="1">
      <x:c r="A12" s="9" t="str">
        <x:v>riverTown</x:v>
      </x:c>
      <x:c r="B12" s="9" t="str">
        <x:v>白水渡镇</x:v>
      </x:c>
      <x:c r="C12" s="9" t="str">
        <x:v>渡口镇</x:v>
      </x:c>
      <x:c r="D12" s="9" t="n">
        <x:v>0.9</x:v>
      </x:c>
      <x:c r="E12" s="9" t="str">
        <x:v>渡口行会 + 镇衙</x:v>
      </x:c>
      <x:c r="F12" s="9" t="str">
        <x:v>当前判断不允许</x:v>
      </x:c>
      <x:c r="G12" s="9" t="str">
        <x:v>有数据；旅行/内容未逐点验收</x:v>
      </x:c>
    </x:row>
    <x:row r="13" ht="51" customHeight="1">
      <x:c r="A13" s="8" t="str">
        <x:v>spiritMarket</x:v>
      </x:c>
      <x:c r="B13" s="8" t="str">
        <x:v>落霞坊市</x:v>
      </x:c>
      <x:c r="C13" s="8" t="str">
        <x:v>大型坊市</x:v>
      </x:c>
      <x:c r="D13" s="8" t="n">
        <x:v>0.8</x:v>
      </x:c>
      <x:c r="E13" s="8" t="str">
        <x:v>三家商会共管</x:v>
      </x:c>
      <x:c r="F13" s="8" t="str">
        <x:v>当前判断不允许</x:v>
      </x:c>
      <x:c r="G13" s="8" t="str">
        <x:v>有数据；旅行/内容未逐点验收</x:v>
      </x:c>
    </x:row>
    <x:row r="14" ht="51" customHeight="1">
      <x:c r="A14" s="9" t="str">
        <x:v>taiyueSect</x:v>
      </x:c>
      <x:c r="B14" s="9" t="str">
        <x:v>太岳宗外山</x:v>
      </x:c>
      <x:c r="C14" s="9" t="str">
        <x:v>宗门</x:v>
      </x:c>
      <x:c r="D14" s="9" t="n">
        <x:v>2.1</x:v>
      </x:c>
      <x:c r="E14" s="9" t="str">
        <x:v>太岳宗</x:v>
      </x:c>
      <x:c r="F14" s="9" t="str">
        <x:v>当前判断不允许</x:v>
      </x:c>
      <x:c r="G14" s="9" t="str">
        <x:v>有数据；旅行/内容未逐点验收</x:v>
      </x:c>
    </x:row>
    <x:row r="15" ht="51" customHeight="1">
      <x:c r="A15" s="8" t="str">
        <x:v>mistSecret</x:v>
      </x:c>
      <x:c r="B15" s="8" t="str">
        <x:v>玄雾古境</x:v>
      </x:c>
      <x:c r="C15" s="8" t="str">
        <x:v>秘境</x:v>
      </x:c>
      <x:c r="D15" s="8" t="n">
        <x:v>3.4</x:v>
      </x:c>
      <x:c r="E15" s="8" t="str">
        <x:v>未标明</x:v>
      </x:c>
      <x:c r="F15" s="8" t="str">
        <x:v>当前判断不允许</x:v>
      </x:c>
      <x:c r="G15" s="8" t="str">
        <x:v>有数据；旅行/内容未逐点验收</x:v>
      </x:c>
    </x:row>
  </x:sheetData>
  <x:pageMargins left="0.7" right="0.7" top="0.75" bottom="0.75" header="0.3" footer="0.3"/>
  <x:tableParts count="1">
    <x:tablePart xmlns:r="http://schemas.openxmlformats.org/officeDocument/2006/relationships" r:id="R933fc70b14564e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1.880000114440918" hidden="0" customWidth="1"/>
    <x:col min="3" max="3" width="20" hidden="0" customWidth="1"/>
    <x:col min="4" max="4" width="30" hidden="0" customWidth="1"/>
    <x:col min="5" max="5" width="25" hidden="0" customWidth="1"/>
    <x:col min="6" max="6" width="41.2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原50阶数据 · 用于复核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境界</x:v>
      </x:c>
      <x:c r="B4" s="7" t="str">
        <x:v>小阶</x:v>
      </x:c>
      <x:c r="C4" s="7" t="str">
        <x:v>寿限（年）</x:v>
      </x:c>
      <x:c r="D4" s="7" t="str">
        <x:v>单阶需求（灵）</x:v>
      </x:c>
      <x:c r="E4" s="7" t="str">
        <x:v>旧基础成功率</x:v>
      </x:c>
      <x:c r="F4" s="7" t="str">
        <x:v>使用状态</x:v>
      </x:c>
    </x:row>
    <x:row r="5" ht="33" customHeight="1">
      <x:c r="A5" s="8" t="str">
        <x:v>炼气</x:v>
      </x:c>
      <x:c r="B5" s="8" t="str">
        <x:v>1 层</x:v>
      </x:c>
      <x:c r="C5" s="10" t="n">
        <x:v>100</x:v>
      </x:c>
      <x:c r="D5" s="10" t="n">
        <x:v>123</x:v>
      </x:c>
      <x:c r="E5" s="13" t="n">
        <x:v>0.9</x:v>
      </x:c>
      <x:c r="F5" s="8" t="str">
        <x:v>旧稿候选值；不是已验证平衡</x:v>
      </x:c>
    </x:row>
    <x:row r="6" ht="33" customHeight="1">
      <x:c r="A6" s="9" t="str">
        <x:v>炼气</x:v>
      </x:c>
      <x:c r="B6" s="9" t="str">
        <x:v>2 层</x:v>
      </x:c>
      <x:c r="C6" s="11" t="n">
        <x:v>100</x:v>
      </x:c>
      <x:c r="D6" s="11" t="n">
        <x:v>150</x:v>
      </x:c>
      <x:c r="E6" s="14" t="n">
        <x:v>0.88</x:v>
      </x:c>
      <x:c r="F6" s="9" t="str">
        <x:v>旧稿候选值；不是已验证平衡</x:v>
      </x:c>
    </x:row>
    <x:row r="7" ht="33" customHeight="1">
      <x:c r="A7" s="8" t="str">
        <x:v>炼气</x:v>
      </x:c>
      <x:c r="B7" s="8" t="str">
        <x:v>3 层</x:v>
      </x:c>
      <x:c r="C7" s="10" t="n">
        <x:v>100</x:v>
      </x:c>
      <x:c r="D7" s="10" t="n">
        <x:v>183</x:v>
      </x:c>
      <x:c r="E7" s="13" t="n">
        <x:v>0.86</x:v>
      </x:c>
      <x:c r="F7" s="8" t="str">
        <x:v>旧稿候选值；不是已验证平衡</x:v>
      </x:c>
    </x:row>
    <x:row r="8" ht="33" customHeight="1">
      <x:c r="A8" s="9" t="str">
        <x:v>炼气</x:v>
      </x:c>
      <x:c r="B8" s="9" t="str">
        <x:v>4 层</x:v>
      </x:c>
      <x:c r="C8" s="11" t="n">
        <x:v>100</x:v>
      </x:c>
      <x:c r="D8" s="11" t="n">
        <x:v>223</x:v>
      </x:c>
      <x:c r="E8" s="14" t="n">
        <x:v>0.84</x:v>
      </x:c>
      <x:c r="F8" s="9" t="str">
        <x:v>旧稿候选值；不是已验证平衡</x:v>
      </x:c>
    </x:row>
    <x:row r="9" ht="33" customHeight="1">
      <x:c r="A9" s="8" t="str">
        <x:v>炼气</x:v>
      </x:c>
      <x:c r="B9" s="8" t="str">
        <x:v>5 层</x:v>
      </x:c>
      <x:c r="C9" s="10" t="n">
        <x:v>100</x:v>
      </x:c>
      <x:c r="D9" s="10" t="n">
        <x:v>272</x:v>
      </x:c>
      <x:c r="E9" s="13" t="n">
        <x:v>0.82</x:v>
      </x:c>
      <x:c r="F9" s="8" t="str">
        <x:v>旧稿候选值；不是已验证平衡</x:v>
      </x:c>
    </x:row>
    <x:row r="10" ht="33" customHeight="1">
      <x:c r="A10" s="9" t="str">
        <x:v>炼气</x:v>
      </x:c>
      <x:c r="B10" s="9" t="str">
        <x:v>6 层</x:v>
      </x:c>
      <x:c r="C10" s="11" t="n">
        <x:v>100</x:v>
      </x:c>
      <x:c r="D10" s="11" t="n">
        <x:v>332</x:v>
      </x:c>
      <x:c r="E10" s="14" t="n">
        <x:v>0.8</x:v>
      </x:c>
      <x:c r="F10" s="9" t="str">
        <x:v>旧稿候选值；不是已验证平衡</x:v>
      </x:c>
    </x:row>
    <x:row r="11" ht="33" customHeight="1">
      <x:c r="A11" s="8" t="str">
        <x:v>炼气</x:v>
      </x:c>
      <x:c r="B11" s="8" t="str">
        <x:v>7 层</x:v>
      </x:c>
      <x:c r="C11" s="10" t="n">
        <x:v>100</x:v>
      </x:c>
      <x:c r="D11" s="10" t="n">
        <x:v>405</x:v>
      </x:c>
      <x:c r="E11" s="13" t="n">
        <x:v>0.78</x:v>
      </x:c>
      <x:c r="F11" s="8" t="str">
        <x:v>旧稿候选值；不是已验证平衡</x:v>
      </x:c>
    </x:row>
    <x:row r="12" ht="33" customHeight="1">
      <x:c r="A12" s="9" t="str">
        <x:v>炼气</x:v>
      </x:c>
      <x:c r="B12" s="9" t="str">
        <x:v>8 层</x:v>
      </x:c>
      <x:c r="C12" s="11" t="n">
        <x:v>100</x:v>
      </x:c>
      <x:c r="D12" s="11" t="n">
        <x:v>494</x:v>
      </x:c>
      <x:c r="E12" s="14" t="n">
        <x:v>0.76</x:v>
      </x:c>
      <x:c r="F12" s="9" t="str">
        <x:v>旧稿候选值；不是已验证平衡</x:v>
      </x:c>
    </x:row>
    <x:row r="13" ht="33" customHeight="1">
      <x:c r="A13" s="8" t="str">
        <x:v>炼气</x:v>
      </x:c>
      <x:c r="B13" s="8" t="str">
        <x:v>9 层</x:v>
      </x:c>
      <x:c r="C13" s="10" t="n">
        <x:v>100</x:v>
      </x:c>
      <x:c r="D13" s="10" t="n">
        <x:v>603</x:v>
      </x:c>
      <x:c r="E13" s="13" t="n">
        <x:v>0.74</x:v>
      </x:c>
      <x:c r="F13" s="8" t="str">
        <x:v>旧稿候选值；不是已验证平衡</x:v>
      </x:c>
    </x:row>
    <x:row r="14" ht="33" customHeight="1">
      <x:c r="A14" s="9" t="str">
        <x:v>炼气</x:v>
      </x:c>
      <x:c r="B14" s="9" t="str">
        <x:v>10 层</x:v>
      </x:c>
      <x:c r="C14" s="11" t="n">
        <x:v>100</x:v>
      </x:c>
      <x:c r="D14" s="11" t="n">
        <x:v>735</x:v>
      </x:c>
      <x:c r="E14" s="14" t="n">
        <x:v>0.72</x:v>
      </x:c>
      <x:c r="F14" s="9" t="str">
        <x:v>旧稿候选值；不是已验证平衡</x:v>
      </x:c>
    </x:row>
    <x:row r="15" ht="33" customHeight="1">
      <x:c r="A15" s="8" t="str">
        <x:v>炼气</x:v>
      </x:c>
      <x:c r="B15" s="8" t="str">
        <x:v>11 层</x:v>
      </x:c>
      <x:c r="C15" s="10" t="n">
        <x:v>100</x:v>
      </x:c>
      <x:c r="D15" s="10" t="n">
        <x:v>897</x:v>
      </x:c>
      <x:c r="E15" s="13" t="n">
        <x:v>0.7</x:v>
      </x:c>
      <x:c r="F15" s="8" t="str">
        <x:v>旧稿候选值；不是已验证平衡</x:v>
      </x:c>
    </x:row>
    <x:row r="16" ht="33" customHeight="1">
      <x:c r="A16" s="9" t="str">
        <x:v>炼气</x:v>
      </x:c>
      <x:c r="B16" s="9" t="str">
        <x:v>12 层</x:v>
      </x:c>
      <x:c r="C16" s="11" t="n">
        <x:v>100</x:v>
      </x:c>
      <x:c r="D16" s="11" t="n">
        <x:v>1094</x:v>
      </x:c>
      <x:c r="E16" s="14" t="n">
        <x:v>0.68</x:v>
      </x:c>
      <x:c r="F16" s="9" t="str">
        <x:v>旧稿候选值；不是已验证平衡</x:v>
      </x:c>
    </x:row>
    <x:row r="17" ht="33" customHeight="1">
      <x:c r="A17" s="8" t="str">
        <x:v>炼气</x:v>
      </x:c>
      <x:c r="B17" s="8" t="str">
        <x:v>13 层</x:v>
      </x:c>
      <x:c r="C17" s="10" t="n">
        <x:v>100</x:v>
      </x:c>
      <x:c r="D17" s="10" t="n">
        <x:v>1335</x:v>
      </x:c>
      <x:c r="E17" s="13" t="n">
        <x:v>0.66</x:v>
      </x:c>
      <x:c r="F17" s="8" t="str">
        <x:v>旧稿候选值；不是已验证平衡</x:v>
      </x:c>
    </x:row>
    <x:row r="18" ht="33" customHeight="1">
      <x:c r="A18" s="9" t="str">
        <x:v>筑基</x:v>
      </x:c>
      <x:c r="B18" s="9" t="str">
        <x:v>初</x:v>
      </x:c>
      <x:c r="C18" s="11" t="n">
        <x:v>200</x:v>
      </x:c>
      <x:c r="D18" s="11" t="n">
        <x:v>3200</x:v>
      </x:c>
      <x:c r="E18" s="14" t="n">
        <x:v>0.62</x:v>
      </x:c>
      <x:c r="F18" s="9" t="str">
        <x:v>旧稿候选值；不是已验证平衡</x:v>
      </x:c>
    </x:row>
    <x:row r="19" ht="33" customHeight="1">
      <x:c r="A19" s="8" t="str">
        <x:v>筑基</x:v>
      </x:c>
      <x:c r="B19" s="8" t="str">
        <x:v>中</x:v>
      </x:c>
      <x:c r="C19" s="10" t="n">
        <x:v>200</x:v>
      </x:c>
      <x:c r="D19" s="10" t="n">
        <x:v>4700</x:v>
      </x:c>
      <x:c r="E19" s="13" t="n">
        <x:v>0.58</x:v>
      </x:c>
      <x:c r="F19" s="8" t="str">
        <x:v>旧稿候选值；不是已验证平衡</x:v>
      </x:c>
    </x:row>
    <x:row r="20" ht="33" customHeight="1">
      <x:c r="A20" s="9" t="str">
        <x:v>筑基</x:v>
      </x:c>
      <x:c r="B20" s="9" t="str">
        <x:v>后</x:v>
      </x:c>
      <x:c r="C20" s="11" t="n">
        <x:v>200</x:v>
      </x:c>
      <x:c r="D20" s="11" t="n">
        <x:v>6400</x:v>
      </x:c>
      <x:c r="E20" s="14" t="n">
        <x:v>0.55</x:v>
      </x:c>
      <x:c r="F20" s="9" t="str">
        <x:v>旧稿候选值；不是已验证平衡</x:v>
      </x:c>
    </x:row>
    <x:row r="21" ht="33" customHeight="1">
      <x:c r="A21" s="8" t="str">
        <x:v>筑基</x:v>
      </x:c>
      <x:c r="B21" s="8" t="str">
        <x:v>圆满</x:v>
      </x:c>
      <x:c r="C21" s="10" t="n">
        <x:v>200</x:v>
      </x:c>
      <x:c r="D21" s="10" t="n">
        <x:v>6950</x:v>
      </x:c>
      <x:c r="E21" s="13" t="n">
        <x:v>0.52</x:v>
      </x:c>
      <x:c r="F21" s="8" t="str">
        <x:v>旧稿候选值；不是已验证平衡</x:v>
      </x:c>
    </x:row>
    <x:row r="22" ht="33" customHeight="1">
      <x:c r="A22" s="9" t="str">
        <x:v>结丹</x:v>
      </x:c>
      <x:c r="B22" s="9" t="str">
        <x:v>初</x:v>
      </x:c>
      <x:c r="C22" s="11" t="n">
        <x:v>400</x:v>
      </x:c>
      <x:c r="D22" s="11" t="n">
        <x:v>14000</x:v>
      </x:c>
      <x:c r="E22" s="14" t="n">
        <x:v>0.5</x:v>
      </x:c>
      <x:c r="F22" s="9" t="str">
        <x:v>旧稿候选值；不是已验证平衡</x:v>
      </x:c>
    </x:row>
    <x:row r="23" ht="33" customHeight="1">
      <x:c r="A23" s="8" t="str">
        <x:v>结丹</x:v>
      </x:c>
      <x:c r="B23" s="8" t="str">
        <x:v>中</x:v>
      </x:c>
      <x:c r="C23" s="10" t="n">
        <x:v>400</x:v>
      </x:c>
      <x:c r="D23" s="10" t="n">
        <x:v>19000</x:v>
      </x:c>
      <x:c r="E23" s="13" t="n">
        <x:v>0.47</x:v>
      </x:c>
      <x:c r="F23" s="8" t="str">
        <x:v>旧稿候选值；不是已验证平衡</x:v>
      </x:c>
    </x:row>
    <x:row r="24" ht="33" customHeight="1">
      <x:c r="A24" s="9" t="str">
        <x:v>结丹</x:v>
      </x:c>
      <x:c r="B24" s="9" t="str">
        <x:v>后</x:v>
      </x:c>
      <x:c r="C24" s="11" t="n">
        <x:v>400</x:v>
      </x:c>
      <x:c r="D24" s="11" t="n">
        <x:v>23500</x:v>
      </x:c>
      <x:c r="E24" s="14" t="n">
        <x:v>0.45</x:v>
      </x:c>
      <x:c r="F24" s="9" t="str">
        <x:v>旧稿候选值；不是已验证平衡</x:v>
      </x:c>
    </x:row>
    <x:row r="25" ht="33" customHeight="1">
      <x:c r="A25" s="8" t="str">
        <x:v>结丹</x:v>
      </x:c>
      <x:c r="B25" s="8" t="str">
        <x:v>圆满</x:v>
      </x:c>
      <x:c r="C25" s="10" t="n">
        <x:v>400</x:v>
      </x:c>
      <x:c r="D25" s="10" t="n">
        <x:v>28500</x:v>
      </x:c>
      <x:c r="E25" s="13" t="n">
        <x:v>0.42</x:v>
      </x:c>
      <x:c r="F25" s="8" t="str">
        <x:v>旧稿候选值；不是已验证平衡</x:v>
      </x:c>
    </x:row>
    <x:row r="26" ht="33" customHeight="1">
      <x:c r="A26" s="9" t="str">
        <x:v>元婴</x:v>
      </x:c>
      <x:c r="B26" s="9" t="str">
        <x:v>初</x:v>
      </x:c>
      <x:c r="C26" s="11" t="n">
        <x:v>800</x:v>
      </x:c>
      <x:c r="D26" s="11" t="n">
        <x:v>80000</x:v>
      </x:c>
      <x:c r="E26" s="14" t="n">
        <x:v>0.4</x:v>
      </x:c>
      <x:c r="F26" s="9" t="str">
        <x:v>旧稿候选值；不是已验证平衡</x:v>
      </x:c>
    </x:row>
    <x:row r="27" ht="33" customHeight="1">
      <x:c r="A27" s="8" t="str">
        <x:v>元婴</x:v>
      </x:c>
      <x:c r="B27" s="8" t="str">
        <x:v>中</x:v>
      </x:c>
      <x:c r="C27" s="10" t="n">
        <x:v>800</x:v>
      </x:c>
      <x:c r="D27" s="10" t="n">
        <x:v>95000</x:v>
      </x:c>
      <x:c r="E27" s="13" t="n">
        <x:v>0.38</x:v>
      </x:c>
      <x:c r="F27" s="8" t="str">
        <x:v>旧稿候选值；不是已验证平衡</x:v>
      </x:c>
    </x:row>
    <x:row r="28" ht="33" customHeight="1">
      <x:c r="A28" s="9" t="str">
        <x:v>元婴</x:v>
      </x:c>
      <x:c r="B28" s="9" t="str">
        <x:v>后</x:v>
      </x:c>
      <x:c r="C28" s="11" t="n">
        <x:v>800</x:v>
      </x:c>
      <x:c r="D28" s="11" t="n">
        <x:v>113000</x:v>
      </x:c>
      <x:c r="E28" s="14" t="n">
        <x:v>0.36</x:v>
      </x:c>
      <x:c r="F28" s="9" t="str">
        <x:v>旧稿候选值；不是已验证平衡</x:v>
      </x:c>
    </x:row>
    <x:row r="29" ht="33" customHeight="1">
      <x:c r="A29" s="8" t="str">
        <x:v>元婴</x:v>
      </x:c>
      <x:c r="B29" s="8" t="str">
        <x:v>圆满</x:v>
      </x:c>
      <x:c r="C29" s="10" t="n">
        <x:v>800</x:v>
      </x:c>
      <x:c r="D29" s="10" t="n">
        <x:v>120000</x:v>
      </x:c>
      <x:c r="E29" s="13" t="n">
        <x:v>0.35</x:v>
      </x:c>
      <x:c r="F29" s="8" t="str">
        <x:v>旧稿候选值；不是已验证平衡</x:v>
      </x:c>
    </x:row>
    <x:row r="30" ht="33" customHeight="1">
      <x:c r="A30" s="9" t="str">
        <x:v>化神</x:v>
      </x:c>
      <x:c r="B30" s="9" t="str">
        <x:v>初</x:v>
      </x:c>
      <x:c r="C30" s="11" t="n">
        <x:v>1500</x:v>
      </x:c>
      <x:c r="D30" s="11" t="n">
        <x:v>380000</x:v>
      </x:c>
      <x:c r="E30" s="14" t="n">
        <x:v>0.34</x:v>
      </x:c>
      <x:c r="F30" s="9" t="str">
        <x:v>旧稿候选值；不是已验证平衡</x:v>
      </x:c>
    </x:row>
    <x:row r="31" ht="33" customHeight="1">
      <x:c r="A31" s="8" t="str">
        <x:v>化神</x:v>
      </x:c>
      <x:c r="B31" s="8" t="str">
        <x:v>中</x:v>
      </x:c>
      <x:c r="C31" s="10" t="n">
        <x:v>1500</x:v>
      </x:c>
      <x:c r="D31" s="10" t="n">
        <x:v>420000</x:v>
      </x:c>
      <x:c r="E31" s="13" t="n">
        <x:v>0.33</x:v>
      </x:c>
      <x:c r="F31" s="8" t="str">
        <x:v>旧稿候选值；不是已验证平衡</x:v>
      </x:c>
    </x:row>
    <x:row r="32" ht="33" customHeight="1">
      <x:c r="A32" s="9" t="str">
        <x:v>化神</x:v>
      </x:c>
      <x:c r="B32" s="9" t="str">
        <x:v>后</x:v>
      </x:c>
      <x:c r="C32" s="11" t="n">
        <x:v>1500</x:v>
      </x:c>
      <x:c r="D32" s="11" t="n">
        <x:v>470000</x:v>
      </x:c>
      <x:c r="E32" s="14" t="n">
        <x:v>0.32</x:v>
      </x:c>
      <x:c r="F32" s="9" t="str">
        <x:v>旧稿候选值；不是已验证平衡</x:v>
      </x:c>
    </x:row>
    <x:row r="33" ht="33" customHeight="1">
      <x:c r="A33" s="8" t="str">
        <x:v>化神</x:v>
      </x:c>
      <x:c r="B33" s="8" t="str">
        <x:v>圆满</x:v>
      </x:c>
      <x:c r="C33" s="10" t="n">
        <x:v>1500</x:v>
      </x:c>
      <x:c r="D33" s="10" t="n">
        <x:v>515000</x:v>
      </x:c>
      <x:c r="E33" s="13" t="n">
        <x:v>0.31</x:v>
      </x:c>
      <x:c r="F33" s="8" t="str">
        <x:v>旧稿候选值；不是已验证平衡</x:v>
      </x:c>
    </x:row>
    <x:row r="34" ht="33" customHeight="1">
      <x:c r="A34" s="9" t="str">
        <x:v>炼虚</x:v>
      </x:c>
      <x:c r="B34" s="9" t="str">
        <x:v>初</x:v>
      </x:c>
      <x:c r="C34" s="11" t="n">
        <x:v>3000</x:v>
      </x:c>
      <x:c r="D34" s="11" t="n">
        <x:v>2300000</x:v>
      </x:c>
      <x:c r="E34" s="14" t="n">
        <x:v>0.31</x:v>
      </x:c>
      <x:c r="F34" s="9" t="str">
        <x:v>旧稿候选值；不是已验证平衡</x:v>
      </x:c>
    </x:row>
    <x:row r="35" ht="33" customHeight="1">
      <x:c r="A35" s="8" t="str">
        <x:v>炼虚</x:v>
      </x:c>
      <x:c r="B35" s="8" t="str">
        <x:v>中</x:v>
      </x:c>
      <x:c r="C35" s="10" t="n">
        <x:v>3000</x:v>
      </x:c>
      <x:c r="D35" s="10" t="n">
        <x:v>2450000</x:v>
      </x:c>
      <x:c r="E35" s="13" t="n">
        <x:v>0.3</x:v>
      </x:c>
      <x:c r="F35" s="8" t="str">
        <x:v>旧稿候选值；不是已验证平衡</x:v>
      </x:c>
    </x:row>
    <x:row r="36" ht="33" customHeight="1">
      <x:c r="A36" s="9" t="str">
        <x:v>炼虚</x:v>
      </x:c>
      <x:c r="B36" s="9" t="str">
        <x:v>后</x:v>
      </x:c>
      <x:c r="C36" s="11" t="n">
        <x:v>3000</x:v>
      </x:c>
      <x:c r="D36" s="11" t="n">
        <x:v>2650000</x:v>
      </x:c>
      <x:c r="E36" s="14" t="n">
        <x:v>0.3</x:v>
      </x:c>
      <x:c r="F36" s="9" t="str">
        <x:v>旧稿候选值；不是已验证平衡</x:v>
      </x:c>
    </x:row>
    <x:row r="37" ht="33" customHeight="1">
      <x:c r="A37" s="8" t="str">
        <x:v>炼虚</x:v>
      </x:c>
      <x:c r="B37" s="8" t="str">
        <x:v>圆满</x:v>
      </x:c>
      <x:c r="C37" s="10" t="n">
        <x:v>3000</x:v>
      </x:c>
      <x:c r="D37" s="10" t="n">
        <x:v>2800000</x:v>
      </x:c>
      <x:c r="E37" s="13" t="n">
        <x:v>0.29</x:v>
      </x:c>
      <x:c r="F37" s="8" t="str">
        <x:v>旧稿候选值；不是已验证平衡</x:v>
      </x:c>
    </x:row>
    <x:row r="38" ht="33" customHeight="1">
      <x:c r="A38" s="9" t="str">
        <x:v>合体</x:v>
      </x:c>
      <x:c r="B38" s="9" t="str">
        <x:v>初</x:v>
      </x:c>
      <x:c r="C38" s="11" t="n">
        <x:v>6000</x:v>
      </x:c>
      <x:c r="D38" s="11" t="n">
        <x:v>11500000</x:v>
      </x:c>
      <x:c r="E38" s="14" t="n">
        <x:v>0.29</x:v>
      </x:c>
      <x:c r="F38" s="9" t="str">
        <x:v>旧稿候选值；不是已验证平衡</x:v>
      </x:c>
    </x:row>
    <x:row r="39" ht="33" customHeight="1">
      <x:c r="A39" s="8" t="str">
        <x:v>合体</x:v>
      </x:c>
      <x:c r="B39" s="8" t="str">
        <x:v>中</x:v>
      </x:c>
      <x:c r="C39" s="10" t="n">
        <x:v>6000</x:v>
      </x:c>
      <x:c r="D39" s="10" t="n">
        <x:v>12000000</x:v>
      </x:c>
      <x:c r="E39" s="13" t="n">
        <x:v>0.28</x:v>
      </x:c>
      <x:c r="F39" s="8" t="str">
        <x:v>旧稿候选值；不是已验证平衡</x:v>
      </x:c>
    </x:row>
    <x:row r="40" ht="33" customHeight="1">
      <x:c r="A40" s="9" t="str">
        <x:v>合体</x:v>
      </x:c>
      <x:c r="B40" s="9" t="str">
        <x:v>后</x:v>
      </x:c>
      <x:c r="C40" s="11" t="n">
        <x:v>6000</x:v>
      </x:c>
      <x:c r="D40" s="11" t="n">
        <x:v>13000000</x:v>
      </x:c>
      <x:c r="E40" s="14" t="n">
        <x:v>0.28</x:v>
      </x:c>
      <x:c r="F40" s="9" t="str">
        <x:v>旧稿候选值；不是已验证平衡</x:v>
      </x:c>
    </x:row>
    <x:row r="41" ht="33" customHeight="1">
      <x:c r="A41" s="8" t="str">
        <x:v>合体</x:v>
      </x:c>
      <x:c r="B41" s="8" t="str">
        <x:v>圆满</x:v>
      </x:c>
      <x:c r="C41" s="10" t="n">
        <x:v>6000</x:v>
      </x:c>
      <x:c r="D41" s="10" t="n">
        <x:v>14500000</x:v>
      </x:c>
      <x:c r="E41" s="13" t="n">
        <x:v>0.27</x:v>
      </x:c>
      <x:c r="F41" s="8" t="str">
        <x:v>旧稿候选值；不是已验证平衡</x:v>
      </x:c>
    </x:row>
    <x:row r="42" ht="33" customHeight="1">
      <x:c r="A42" s="9" t="str">
        <x:v>大乘</x:v>
      </x:c>
      <x:c r="B42" s="9" t="str">
        <x:v>初</x:v>
      </x:c>
      <x:c r="C42" s="11" t="n">
        <x:v>10000</x:v>
      </x:c>
      <x:c r="D42" s="11" t="n">
        <x:v>38000000</x:v>
      </x:c>
      <x:c r="E42" s="14" t="n">
        <x:v>0.27</x:v>
      </x:c>
      <x:c r="F42" s="9" t="str">
        <x:v>旧稿候选值；不是已验证平衡</x:v>
      </x:c>
    </x:row>
    <x:row r="43" ht="33" customHeight="1">
      <x:c r="A43" s="8" t="str">
        <x:v>大乘</x:v>
      </x:c>
      <x:c r="B43" s="8" t="str">
        <x:v>中</x:v>
      </x:c>
      <x:c r="C43" s="10" t="n">
        <x:v>10000</x:v>
      </x:c>
      <x:c r="D43" s="10" t="n">
        <x:v>42000000</x:v>
      </x:c>
      <x:c r="E43" s="13" t="n">
        <x:v>0.26</x:v>
      </x:c>
      <x:c r="F43" s="8" t="str">
        <x:v>旧稿候选值；不是已验证平衡</x:v>
      </x:c>
    </x:row>
    <x:row r="44" ht="33" customHeight="1">
      <x:c r="A44" s="9" t="str">
        <x:v>大乘</x:v>
      </x:c>
      <x:c r="B44" s="9" t="str">
        <x:v>后</x:v>
      </x:c>
      <x:c r="C44" s="11" t="n">
        <x:v>10000</x:v>
      </x:c>
      <x:c r="D44" s="11" t="n">
        <x:v>45000000</x:v>
      </x:c>
      <x:c r="E44" s="14" t="n">
        <x:v>0.26</x:v>
      </x:c>
      <x:c r="F44" s="9" t="str">
        <x:v>旧稿候选值；不是已验证平衡</x:v>
      </x:c>
    </x:row>
    <x:row r="45" ht="33" customHeight="1">
      <x:c r="A45" s="8" t="str">
        <x:v>大乘</x:v>
      </x:c>
      <x:c r="B45" s="8" t="str">
        <x:v>圆满</x:v>
      </x:c>
      <x:c r="C45" s="10" t="n">
        <x:v>10000</x:v>
      </x:c>
      <x:c r="D45" s="10" t="n">
        <x:v>45000000</x:v>
      </x:c>
      <x:c r="E45" s="13" t="n">
        <x:v>0.25</x:v>
      </x:c>
      <x:c r="F45" s="8" t="str">
        <x:v>旧稿候选值；不是已验证平衡</x:v>
      </x:c>
    </x:row>
    <x:row r="46" ht="33" customHeight="1">
      <x:c r="A46" s="9" t="str">
        <x:v>渡劫</x:v>
      </x:c>
      <x:c r="B46" s="9" t="str">
        <x:v>一重</x:v>
      </x:c>
      <x:c r="C46" s="11" t="n">
        <x:v>10000</x:v>
      </x:c>
      <x:c r="D46" s="11" t="n">
        <x:v>22000000</x:v>
      </x:c>
      <x:c r="E46" s="14" t="n">
        <x:v>0.25</x:v>
      </x:c>
      <x:c r="F46" s="9" t="str">
        <x:v>旧稿候选值；不是已验证平衡</x:v>
      </x:c>
    </x:row>
    <x:row r="47" ht="33" customHeight="1">
      <x:c r="A47" s="8" t="str">
        <x:v>渡劫</x:v>
      </x:c>
      <x:c r="B47" s="8" t="str">
        <x:v>二重</x:v>
      </x:c>
      <x:c r="C47" s="10" t="n">
        <x:v>10000</x:v>
      </x:c>
      <x:c r="D47" s="10" t="n">
        <x:v>22000000</x:v>
      </x:c>
      <x:c r="E47" s="13" t="n">
        <x:v>0.25</x:v>
      </x:c>
      <x:c r="F47" s="8" t="str">
        <x:v>旧稿候选值；不是已验证平衡</x:v>
      </x:c>
    </x:row>
    <x:row r="48" ht="33" customHeight="1">
      <x:c r="A48" s="9" t="str">
        <x:v>渡劫</x:v>
      </x:c>
      <x:c r="B48" s="9" t="str">
        <x:v>三重</x:v>
      </x:c>
      <x:c r="C48" s="11" t="n">
        <x:v>10000</x:v>
      </x:c>
      <x:c r="D48" s="11" t="n">
        <x:v>22000000</x:v>
      </x:c>
      <x:c r="E48" s="14" t="n">
        <x:v>0.24</x:v>
      </x:c>
      <x:c r="F48" s="9" t="str">
        <x:v>旧稿候选值；不是已验证平衡</x:v>
      </x:c>
    </x:row>
    <x:row r="49" ht="33" customHeight="1">
      <x:c r="A49" s="8" t="str">
        <x:v>渡劫</x:v>
      </x:c>
      <x:c r="B49" s="8" t="str">
        <x:v>四重</x:v>
      </x:c>
      <x:c r="C49" s="10" t="n">
        <x:v>10000</x:v>
      </x:c>
      <x:c r="D49" s="10" t="n">
        <x:v>22000000</x:v>
      </x:c>
      <x:c r="E49" s="13" t="n">
        <x:v>0.24</x:v>
      </x:c>
      <x:c r="F49" s="8" t="str">
        <x:v>旧稿候选值；不是已验证平衡</x:v>
      </x:c>
    </x:row>
    <x:row r="50" ht="33" customHeight="1">
      <x:c r="A50" s="9" t="str">
        <x:v>渡劫</x:v>
      </x:c>
      <x:c r="B50" s="9" t="str">
        <x:v>五重</x:v>
      </x:c>
      <x:c r="C50" s="11" t="n">
        <x:v>10000</x:v>
      </x:c>
      <x:c r="D50" s="11" t="n">
        <x:v>22000000</x:v>
      </x:c>
      <x:c r="E50" s="14" t="n">
        <x:v>0.23</x:v>
      </x:c>
      <x:c r="F50" s="9" t="str">
        <x:v>旧稿候选值；不是已验证平衡</x:v>
      </x:c>
    </x:row>
    <x:row r="51" ht="33" customHeight="1">
      <x:c r="A51" s="8" t="str">
        <x:v>渡劫</x:v>
      </x:c>
      <x:c r="B51" s="8" t="str">
        <x:v>六重</x:v>
      </x:c>
      <x:c r="C51" s="10" t="n">
        <x:v>10000</x:v>
      </x:c>
      <x:c r="D51" s="10" t="n">
        <x:v>22000000</x:v>
      </x:c>
      <x:c r="E51" s="13" t="n">
        <x:v>0.23</x:v>
      </x:c>
      <x:c r="F51" s="8" t="str">
        <x:v>旧稿候选值；不是已验证平衡</x:v>
      </x:c>
    </x:row>
    <x:row r="52" ht="33" customHeight="1">
      <x:c r="A52" s="9" t="str">
        <x:v>渡劫</x:v>
      </x:c>
      <x:c r="B52" s="9" t="str">
        <x:v>七重</x:v>
      </x:c>
      <x:c r="C52" s="11" t="n">
        <x:v>10000</x:v>
      </x:c>
      <x:c r="D52" s="11" t="n">
        <x:v>22000000</x:v>
      </x:c>
      <x:c r="E52" s="14" t="n">
        <x:v>0.22</x:v>
      </x:c>
      <x:c r="F52" s="9" t="str">
        <x:v>旧稿候选值；不是已验证平衡</x:v>
      </x:c>
    </x:row>
    <x:row r="53" ht="33" customHeight="1">
      <x:c r="A53" s="8" t="str">
        <x:v>渡劫</x:v>
      </x:c>
      <x:c r="B53" s="8" t="str">
        <x:v>八重</x:v>
      </x:c>
      <x:c r="C53" s="10" t="n">
        <x:v>10000</x:v>
      </x:c>
      <x:c r="D53" s="10" t="n">
        <x:v>22000000</x:v>
      </x:c>
      <x:c r="E53" s="13" t="n">
        <x:v>0.22</x:v>
      </x:c>
      <x:c r="F53" s="8" t="str">
        <x:v>旧稿候选值；不是已验证平衡</x:v>
      </x:c>
    </x:row>
    <x:row r="54" ht="33" customHeight="1">
      <x:c r="A54" s="9" t="str">
        <x:v>渡劫</x:v>
      </x:c>
      <x:c r="B54" s="9" t="str">
        <x:v>九重</x:v>
      </x:c>
      <x:c r="C54" s="11" t="n">
        <x:v>10000</x:v>
      </x:c>
      <x:c r="D54" s="11" t="n">
        <x:v>22000000</x:v>
      </x:c>
      <x:c r="E54" s="14" t="n">
        <x:v>0.21</x:v>
      </x:c>
      <x:c r="F54" s="9" t="str">
        <x:v>旧稿候选值；不是已验证平衡</x:v>
      </x:c>
    </x:row>
  </x:sheetData>
  <x:pageMargins left="0.7" right="0.7" top="0.75" bottom="0.75" header="0.3" footer="0.3"/>
  <x:tableParts count="1">
    <x:tablePart xmlns:r="http://schemas.openxmlformats.org/officeDocument/2006/relationships" r:id="R899ed6c0cf4249d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.630000114440918" hidden="0" customWidth="1"/>
    <x:col min="2" max="2" width="23.75" hidden="0" customWidth="1"/>
    <x:col min="3" max="3" width="21.25" hidden="0" customWidth="1"/>
    <x:col min="4" max="4" width="18.75" hidden="0" customWidth="1"/>
    <x:col min="5" max="5" width="18.75" hidden="0" customWidth="1"/>
    <x:col min="6" max="6" width="17.5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理想修炼账 · 不含失败、筹资、旅行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7" t="str">
        <x:v>境界</x:v>
      </x:c>
      <x:c r="B4" s="7" t="str">
        <x:v>段内需求</x:v>
      </x:c>
      <x:c r="C4" s="7" t="str">
        <x:v>基准年产</x:v>
      </x:c>
      <x:c r="D4" s="7" t="str">
        <x:v>段内年数</x:v>
      </x:c>
      <x:c r="E4" s="7" t="str">
        <x:v>完成年龄</x:v>
      </x:c>
      <x:c r="F4" s="7" t="str">
        <x:v>寿限</x:v>
      </x:c>
      <x:c r="G4" s="7" t="str">
        <x:v>剩余年数</x:v>
      </x:c>
    </x:row>
    <x:row r="5" ht="33" customHeight="1">
      <x:c r="A5" s="8" t="str">
        <x:v>炼气</x:v>
      </x:c>
      <x:c r="B5" s="10" t="n">
        <x:f>SUM('五十阶旧值'!D5:D17)</x:f>
        <x:v>6846</x:v>
      </x:c>
      <x:c r="C5" s="10" t="n">
        <x:v>100</x:v>
      </x:c>
      <x:c r="D5" s="12" t="n">
        <x:f>B5/(C5*$B$16)</x:f>
        <x:v>68.46</x:v>
      </x:c>
      <x:c r="E5" s="12" t="n">
        <x:f>$B$15+D5</x:f>
        <x:v>84.46</x:v>
      </x:c>
      <x:c r="F5" s="12" t="n">
        <x:v>100</x:v>
      </x:c>
      <x:c r="G5" s="12" t="n">
        <x:f>F5-E5</x:f>
        <x:v>15.540000000000006</x:v>
      </x:c>
    </x:row>
    <x:row r="6" ht="33" customHeight="1">
      <x:c r="A6" s="9" t="str">
        <x:v>筑基</x:v>
      </x:c>
      <x:c r="B6" s="11" t="n">
        <x:f>SUM('五十阶旧值'!D18:D21)</x:f>
        <x:v>21250</x:v>
      </x:c>
      <x:c r="C6" s="11" t="n">
        <x:v>250</x:v>
      </x:c>
      <x:c r="D6" s="17" t="n">
        <x:f>B6/(C6*$B$16)</x:f>
        <x:v>85</x:v>
      </x:c>
      <x:c r="E6" s="17" t="n">
        <x:f>E5+D6</x:f>
        <x:v>169.45999999999998</x:v>
      </x:c>
      <x:c r="F6" s="17" t="n">
        <x:v>200</x:v>
      </x:c>
      <x:c r="G6" s="17" t="n">
        <x:f>F6-E6</x:f>
        <x:v>30.54000000000002</x:v>
      </x:c>
    </x:row>
    <x:row r="7" ht="33" customHeight="1">
      <x:c r="A7" s="8" t="str">
        <x:v>结丹</x:v>
      </x:c>
      <x:c r="B7" s="10" t="n">
        <x:f>SUM('五十阶旧值'!D22:D25)</x:f>
        <x:v>85000</x:v>
      </x:c>
      <x:c r="C7" s="10" t="n">
        <x:v>500</x:v>
      </x:c>
      <x:c r="D7" s="12" t="n">
        <x:f>B7/(C7*$B$16)</x:f>
        <x:v>170</x:v>
      </x:c>
      <x:c r="E7" s="12" t="n">
        <x:f>E6+D7</x:f>
        <x:v>339.46</x:v>
      </x:c>
      <x:c r="F7" s="12" t="n">
        <x:v>400</x:v>
      </x:c>
      <x:c r="G7" s="12" t="n">
        <x:f>F7-E7</x:f>
        <x:v>60.54000000000002</x:v>
      </x:c>
    </x:row>
    <x:row r="8" ht="33" customHeight="1">
      <x:c r="A8" s="9" t="str">
        <x:v>元婴</x:v>
      </x:c>
      <x:c r="B8" s="11" t="n">
        <x:f>SUM('五十阶旧值'!D26:D29)</x:f>
        <x:v>408000</x:v>
      </x:c>
      <x:c r="C8" s="11" t="n">
        <x:v>1200</x:v>
      </x:c>
      <x:c r="D8" s="17" t="n">
        <x:f>B8/(C8*$B$16)</x:f>
        <x:v>340</x:v>
      </x:c>
      <x:c r="E8" s="17" t="n">
        <x:f>E7+D8</x:f>
        <x:v>679.46</x:v>
      </x:c>
      <x:c r="F8" s="17" t="n">
        <x:v>800</x:v>
      </x:c>
      <x:c r="G8" s="17" t="n">
        <x:f>F8-E8</x:f>
        <x:v>120.53999999999996</x:v>
      </x:c>
    </x:row>
    <x:row r="9" ht="33" customHeight="1">
      <x:c r="A9" s="8" t="str">
        <x:v>化神</x:v>
      </x:c>
      <x:c r="B9" s="10" t="n">
        <x:f>SUM('五十阶旧值'!D30:D33)</x:f>
        <x:v>1785000</x:v>
      </x:c>
      <x:c r="C9" s="10" t="n">
        <x:v>3000</x:v>
      </x:c>
      <x:c r="D9" s="12" t="n">
        <x:f>B9/(C9*$B$16)</x:f>
        <x:v>595</x:v>
      </x:c>
      <x:c r="E9" s="12" t="n">
        <x:f>E8+D9</x:f>
        <x:v>1274.46</x:v>
      </x:c>
      <x:c r="F9" s="12" t="n">
        <x:v>1500</x:v>
      </x:c>
      <x:c r="G9" s="12" t="n">
        <x:f>F9-E9</x:f>
        <x:v>225.53999999999996</x:v>
      </x:c>
    </x:row>
    <x:row r="10" ht="33" customHeight="1">
      <x:c r="A10" s="9" t="str">
        <x:v>炼虚</x:v>
      </x:c>
      <x:c r="B10" s="11" t="n">
        <x:f>SUM('五十阶旧值'!D34:D37)</x:f>
        <x:v>10200000</x:v>
      </x:c>
      <x:c r="C10" s="11" t="n">
        <x:v>8000</x:v>
      </x:c>
      <x:c r="D10" s="17" t="n">
        <x:f>B10/(C10*$B$16)</x:f>
        <x:v>1275</x:v>
      </x:c>
      <x:c r="E10" s="17" t="n">
        <x:f>E9+D10</x:f>
        <x:v>2549.46</x:v>
      </x:c>
      <x:c r="F10" s="17" t="n">
        <x:v>3000</x:v>
      </x:c>
      <x:c r="G10" s="17" t="n">
        <x:f>F10-E10</x:f>
        <x:v>450.53999999999996</x:v>
      </x:c>
    </x:row>
    <x:row r="11" ht="33" customHeight="1">
      <x:c r="A11" s="8" t="str">
        <x:v>合体</x:v>
      </x:c>
      <x:c r="B11" s="10" t="n">
        <x:f>SUM('五十阶旧值'!D38:D41)</x:f>
        <x:v>51000000</x:v>
      </x:c>
      <x:c r="C11" s="10" t="n">
        <x:v>20000</x:v>
      </x:c>
      <x:c r="D11" s="12" t="n">
        <x:f>B11/(C11*$B$16)</x:f>
        <x:v>2550</x:v>
      </x:c>
      <x:c r="E11" s="12" t="n">
        <x:f>E10+D11</x:f>
        <x:v>5099.46</x:v>
      </x:c>
      <x:c r="F11" s="12" t="n">
        <x:v>6000</x:v>
      </x:c>
      <x:c r="G11" s="12" t="n">
        <x:f>F11-E11</x:f>
        <x:v>900.54</x:v>
      </x:c>
    </x:row>
    <x:row r="12" ht="33" customHeight="1">
      <x:c r="A12" s="9" t="str">
        <x:v>大乘</x:v>
      </x:c>
      <x:c r="B12" s="11" t="n">
        <x:f>SUM('五十阶旧值'!D42:D45)</x:f>
        <x:v>170000000</x:v>
      </x:c>
      <x:c r="C12" s="11" t="n">
        <x:v>50000</x:v>
      </x:c>
      <x:c r="D12" s="17" t="n">
        <x:f>B12/(C12*$B$16)</x:f>
        <x:v>3400</x:v>
      </x:c>
      <x:c r="E12" s="17" t="n">
        <x:f>E11+D12</x:f>
        <x:v>8499.46</x:v>
      </x:c>
      <x:c r="F12" s="17" t="n">
        <x:v>10000</x:v>
      </x:c>
      <x:c r="G12" s="17" t="n">
        <x:f>F12-E12</x:f>
        <x:v>1500.5400000000009</x:v>
      </x:c>
    </x:row>
    <x:row r="13" ht="33" customHeight="1">
      <x:c r="A13" s="8" t="str">
        <x:v>渡劫</x:v>
      </x:c>
      <x:c r="B13" s="10" t="n">
        <x:f>SUM('五十阶旧值'!D46:D54)</x:f>
        <x:v>198000000</x:v>
      </x:c>
      <x:c r="C13" s="10" t="n">
        <x:v>200000</x:v>
      </x:c>
      <x:c r="D13" s="12" t="n">
        <x:f>B13/(C13*$B$16)</x:f>
        <x:v>990</x:v>
      </x:c>
      <x:c r="E13" s="12" t="n">
        <x:f>E12+D13</x:f>
        <x:v>9489.46</x:v>
      </x:c>
      <x:c r="F13" s="12" t="n">
        <x:v>10000</x:v>
      </x:c>
      <x:c r="G13" s="12" t="n">
        <x:f>F13-E13</x:f>
        <x:v>510.5400000000009</x:v>
      </x:c>
    </x:row>
    <x:row r="15" ht="48.75" customHeight="1">
      <x:c r="A15" s="15" t="str">
        <x:v>起修年龄（沿用旧模拟）</x:v>
      </x:c>
      <x:c r="B15" s="16" t="n">
        <x:v>16</x:v>
      </x:c>
    </x:row>
    <x:row r="16" ht="48.75" customHeight="1">
      <x:c r="A16" s="15" t="str">
        <x:v>统一产出倍率（复核用）</x:v>
      </x:c>
      <x:c r="B16" s="16" t="n">
        <x:v>1</x:v>
      </x:c>
    </x:row>
    <x:row r="17" ht="48.75" customHeight="1">
      <x:c r="A17" s="15" t="str">
        <x:v>来源</x:v>
      </x:c>
      <x:c r="B17" s="15" t="str">
        <x:v>旧境界表、寿元平衡模拟及当前REALMS</x:v>
      </x:c>
    </x:row>
    <x:row r="19" ht="48.75" customHeight="1">
      <x:c r="A19" s="15" t="str">
        <x:v>结论</x:v>
      </x:c>
      <x:c r="B19" s="15" t="str">
        <x:v>理想路径≠实战可通关</x:v>
      </x:c>
      <x:c r="C19" s="15" t="str">
        <x:v>渡劫九重990年</x:v>
      </x:c>
      <x:c r="D19" s="15" t="str">
        <x:v>110年仅单重</x:v>
      </x:c>
      <x:c r="E19" s="15" t="str">
        <x:v>入段约8499岁</x:v>
      </x:c>
      <x:c r="F19" s="15" t="str">
        <x:v>出段约9489岁</x:v>
      </x:c>
      <x:c r="G19" s="15" t="str">
        <x:v>余量约511年</x:v>
      </x:c>
    </x:row>
  </x:sheetData>
  <x:pageMargins left="0.7" right="0.7" top="0.75" bottom="0.75" header="0.3" footer="0.3"/>
  <x:tableParts count="1">
    <x:tablePart xmlns:r="http://schemas.openxmlformats.org/officeDocument/2006/relationships" r:id="R72f9e7d196414a3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5" hidden="0" customWidth="1"/>
    <x:col min="2" max="2" width="16.25" hidden="0" customWidth="1"/>
    <x:col min="3" max="3" width="16.25" hidden="0" customWidth="1"/>
    <x:col min="4" max="4" width="16.25" hidden="0" customWidth="1"/>
    <x:col min="5" max="5" width="23.75" hidden="0" customWidth="1"/>
    <x:col min="6" max="6" width="41.2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文档算术纠错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7" t="str">
        <x:v>项目</x:v>
      </x:c>
      <x:c r="B4" s="7" t="str">
        <x:v>输入一</x:v>
      </x:c>
      <x:c r="C4" s="7" t="str">
        <x:v>输入二</x:v>
      </x:c>
      <x:c r="D4" s="7" t="str">
        <x:v>输入三</x:v>
      </x:c>
      <x:c r="E4" s="7" t="str">
        <x:v>复核结果</x:v>
      </x:c>
      <x:c r="F4" s="7" t="str">
        <x:v>结果含义</x:v>
      </x:c>
    </x:row>
    <x:row r="5" ht="33" customHeight="1">
      <x:c r="A5" s="8" t="str">
        <x:v>九次独立成功</x:v>
      </x:c>
      <x:c r="B5" s="8" t="n">
        <x:v>0.95</x:v>
      </x:c>
      <x:c r="C5" s="8" t="n">
        <x:v>9</x:v>
      </x:c>
      <x:c r="D5" s="8"/>
      <x:c r="E5" s="18" t="n">
        <x:f>B5^C5</x:f>
        <x:v>0.6302494097246091</x:v>
      </x:c>
      <x:c r="F5" s="8" t="str">
        <x:v>全过概率；不是“过半卡死”</x:v>
      </x:c>
    </x:row>
    <x:row r="6" ht="33" customHeight="1">
      <x:c r="A6" s="9" t="str">
        <x:v>低概率九次独立成功</x:v>
      </x:c>
      <x:c r="B6" s="9" t="n">
        <x:v>0.225</x:v>
      </x:c>
      <x:c r="C6" s="9" t="n">
        <x:v>9</x:v>
      </x:c>
      <x:c r="D6" s="9"/>
      <x:c r="E6" s="19" t="n">
        <x:f>B6^C6</x:f>
        <x:v>0.0000014778918800354007</x:v>
      </x:c>
      <x:c r="F6" s="9" t="str">
        <x:v>百分比约0.0001478%</x:v>
      </x:c>
    </x:row>
    <x:row r="7" ht="33" customHeight="1">
      <x:c r="A7" s="8" t="str">
        <x:v>三灵根圆满龄（环境1.1）</x:v>
      </x:c>
      <x:c r="B7" s="8" t="n">
        <x:v>6846</x:v>
      </x:c>
      <x:c r="C7" s="8" t="n">
        <x:v>100</x:v>
      </x:c>
      <x:c r="D7" s="8" t="n">
        <x:v>0.95</x:v>
      </x:c>
      <x:c r="E7" s="12" t="n">
        <x:f>8+B7/(C7*D7*1.1)</x:f>
        <x:v>73.51196172248802</x:v>
      </x:c>
      <x:c r="F7" s="8" t="str">
        <x:v>8岁起修；旧方案声称92岁不符</x:v>
      </x:c>
    </x:row>
    <x:row r="8" ht="33" customHeight="1">
      <x:c r="A8" s="9" t="str">
        <x:v>三灵根圆满龄（环境1.2）</x:v>
      </x:c>
      <x:c r="B8" s="9" t="n">
        <x:v>6846</x:v>
      </x:c>
      <x:c r="C8" s="9" t="n">
        <x:v>100</x:v>
      </x:c>
      <x:c r="D8" s="9" t="n">
        <x:v>0.95</x:v>
      </x:c>
      <x:c r="E8" s="17" t="n">
        <x:f>8+B8/(C8*D8*1.2)</x:f>
        <x:v>68.05263157894737</x:v>
      </x:c>
      <x:c r="F8" s="9" t="str">
        <x:v>未计行动折扣，仅复核原公式</x:v>
      </x:c>
    </x:row>
    <x:row r="9" ht="33" customHeight="1">
      <x:c r="A9" s="8" t="str">
        <x:v>万年物价倍率</x:v>
      </x:c>
      <x:c r="B9" s="8" t="n">
        <x:v>1.08</x:v>
      </x:c>
      <x:c r="C9" s="8" t="n">
        <x:v>100</x:v>
      </x:c>
      <x:c r="D9" s="8"/>
      <x:c r="E9" s="12" t="n">
        <x:f>B9^C9</x:f>
        <x:v>2199.7612563413</x:v>
      </x:c>
      <x:c r="F9" s="8" t="str">
        <x:v>每百年涨8%，共100次</x:v>
      </x:c>
    </x:row>
    <x:row r="10" ht="33" customHeight="1">
      <x:c r="A10" s="9" t="str">
        <x:v>万年产出剩余比例</x:v>
      </x:c>
      <x:c r="B10" s="9" t="n">
        <x:v>0.85</x:v>
      </x:c>
      <x:c r="C10" s="9" t="n">
        <x:v>20</x:v>
      </x:c>
      <x:c r="D10" s="9"/>
      <x:c r="E10" s="20" t="n">
        <x:f>B10^C10</x:f>
        <x:v>0.03875953108451433</x:v>
      </x:c>
      <x:c r="F10" s="9" t="str">
        <x:v>每500年乘0.85，共20次</x:v>
      </x:c>
    </x:row>
    <x:row r="11" ht="33" customHeight="1">
      <x:c r="A11" s="8" t="str">
        <x:v>修士分项缺口</x:v>
      </x:c>
      <x:c r="B11" s="8" t="n">
        <x:v>243000</x:v>
      </x:c>
      <x:c r="C11" s="8" t="n">
        <x:v>242460</x:v>
      </x:c>
      <x:c r="D11" s="8"/>
      <x:c r="E11" s="8" t="n">
        <x:f>B11-C11</x:f>
        <x:v>540</x:v>
      </x:c>
      <x:c r="F11" s="8" t="str">
        <x:v>总数减分项合计；旧表为混合约数</x:v>
      </x:c>
    </x:row>
  </x:sheetData>
  <x:pageMargins left="0.7" right="0.7" top="0.75" bottom="0.75" header="0.3" footer="0.3"/>
  <x:tableParts count="1">
    <x:tablePart xmlns:r="http://schemas.openxmlformats.org/officeDocument/2006/relationships" r:id="R8d3a60fa5bb3412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.380000114440918" hidden="0" customWidth="1"/>
    <x:col min="2" max="2" width="46.25" hidden="0" customWidth="1"/>
    <x:col min="3" max="3" width="42.5" hidden="0" customWidth="1"/>
    <x:col min="4" max="4" width="47.5" hidden="0" customWidth="1"/>
    <x:col min="5" max="5" width="18.7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设定审查 · 错误与规则冲突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2" customHeight="1">
      <x:c r="A4" s="7" t="str">
        <x:v>编号</x:v>
      </x:c>
      <x:c r="B4" s="7" t="str">
        <x:v>证据或冲突</x:v>
      </x:c>
      <x:c r="C4" s="7" t="str">
        <x:v>问题</x:v>
      </x:c>
      <x:c r="D4" s="7" t="str">
        <x:v>修改方向</x:v>
      </x:c>
      <x:c r="E4" s="7" t="str">
        <x:v>进度</x:v>
      </x:c>
    </x:row>
    <x:row r="5" ht="51" customHeight="1">
      <x:c r="A5" s="8" t="str">
        <x:v>N01</x:v>
      </x:c>
      <x:c r="B5" s="8" t="str">
        <x:v>原总表“世界密度”：全凡界243000修士；分境194000+46000+2400+60</x:v>
      </x:c>
      <x:c r="C5" s="8" t="str">
        <x:v>分境合计242460，差540；平均每县75只是另一近似</x:v>
      </x:c>
      <x:c r="D5" s="8" t="str">
        <x:v>标明都是约数或补足分项，不能展示为精确闭合总账</x:v>
      </x:c>
      <x:c r="E5" s="8" t="str">
        <x:v>待实施/核定</x:v>
      </x:c>
    </x:row>
    <x:row r="6" ht="51" customHeight="1">
      <x:c r="A6" s="9" t="str">
        <x:v>N02</x:v>
      </x:c>
      <x:c r="B6" s="9" t="str">
        <x:v>同表：一县0.7结丹＝三个县里两个一生无结丹</x:v>
      </x:c>
      <x:c r="C6" s="9" t="str">
        <x:v>横截面平均数不能推出终生出现概率；也不能直接推出县域空置比例</x:v>
      </x:c>
      <x:c r="D6" s="9" t="str">
        <x:v>改为“平均每县不足一位，且高度集中”；要计算概率先定义分布与时间窗</x:v>
      </x:c>
      <x:c r="E6" s="9" t="str">
        <x:v>待实施/核定</x:v>
      </x:c>
    </x:row>
    <x:row r="7" ht="51" customHeight="1">
      <x:c r="A7" s="8" t="str">
        <x:v>N03</x:v>
      </x:c>
      <x:c r="B7" s="8" t="str">
        <x:v>原设计案§5.1：20万灵根者，后列各境存量</x:v>
      </x:c>
      <x:c r="C7" s="8" t="str">
        <x:v>九境分项合计287461，超过20万</x:v>
      </x:c>
      <x:c r="D7" s="8" t="str">
        <x:v>旧口径作废为精确总账；区分凡界、灵界、出生资质率与现存修士</x:v>
      </x:c>
      <x:c r="E7" s="8" t="str">
        <x:v>待实施/核定</x:v>
      </x:c>
    </x:row>
    <x:row r="8" ht="69" customHeight="1">
      <x:c r="A8" s="9" t="str">
        <x:v>N04</x:v>
      </x:c>
      <x:c r="B8" s="9" t="str">
        <x:v>多境界扩展§9.3：渡劫17600万、20万/年、约110年</x:v>
      </x:c>
      <x:c r="C8" s="9" t="str">
        <x:v>17600万÷20万=880年；原50阶表实际九重各2200万，共19800万，需990年</x:v>
      </x:c>
      <x:c r="D8" s="9" t="str">
        <x:v>110年仅是一重；以原逐阶表复核段内和累计时间</x:v>
      </x:c>
      <x:c r="E8" s="9" t="str">
        <x:v>待实施/核定</x:v>
      </x:c>
    </x:row>
    <x:row r="9" ht="51" customHeight="1">
      <x:c r="A9" s="8" t="str">
        <x:v>N05</x:v>
      </x:c>
      <x:c r="B9" s="8" t="str">
        <x:v>同节将约9489岁当成进入渡劫年龄，称余511年够4倍重试</x:v>
      </x:c>
      <x:c r="C9" s="8" t="str">
        <x:v>原寿元表约8499.5岁大乘圆满，9489.5岁是九重完成后的年龄</x:v>
      </x:c>
      <x:c r="D9" s="8" t="str">
        <x:v>基准入段余约1500.5年，理想修炼990年，余510.5年；重试成本须逐重算</x:v>
      </x:c>
      <x:c r="E9" s="8" t="str">
        <x:v>待实施/核定</x:v>
      </x:c>
    </x:row>
    <x:row r="10" ht="51" customHeight="1">
      <x:c r="A10" s="9" t="str">
        <x:v>N06</x:v>
      </x:c>
      <x:c r="B10" s="9" t="str">
        <x:v>同节“九次95%成功，仍有过半人卡死在最后一重”</x:v>
      </x:c>
      <x:c r="C10" s="9" t="str">
        <x:v>九次全过约63.0%，任一重失败约37.0%；最后一重失败不能等同全部失败</x:v>
      </x:c>
      <x:c r="D10" s="9" t="str">
        <x:v>删除该断言；固定概率独立试验也不能代替有准备和重试的真实系统</x:v>
      </x:c>
      <x:c r="E10" s="9" t="str">
        <x:v>待实施/核定</x:v>
      </x:c>
    </x:row>
    <x:row r="11" ht="51" customHeight="1">
      <x:c r="A11" s="8" t="str">
        <x:v>N07</x:v>
      </x:c>
      <x:c r="B11" s="8" t="str">
        <x:v>同节0.225^9写成约0.0000001%</x:v>
      </x:c>
      <x:c r="C11" s="8" t="str">
        <x:v>实际约0.0001478%；仍极低，但数量级写错</x:v>
      </x:c>
      <x:c r="D11" s="8" t="str">
        <x:v>精确结果见新版总表；只用于说明一次失败即终局的苛刻程度</x:v>
      </x:c>
      <x:c r="E11" s="8" t="str">
        <x:v>待实施/核定</x:v>
      </x:c>
    </x:row>
    <x:row r="12" ht="69" customHeight="1">
      <x:c r="A12" s="9" t="str">
        <x:v>N08</x:v>
      </x:c>
      <x:c r="B12" s="9" t="str">
        <x:v>资质与灵气§3：8岁起修、需求6846、年产100、三灵根0.95、环境1.1–1.2，声称约92岁圆满</x:v>
      </x:c>
      <x:c r="C12" s="9" t="str">
        <x:v>按其公式为约68.05–73.51岁；约92岁不成立</x:v>
      </x:c>
      <x:c r="D12" s="9" t="str">
        <x:v>统一起修年龄、行动效率、环境基准再算，不能反推结论去选参数</x:v>
      </x:c>
      <x:c r="E12" s="9" t="str">
        <x:v>待实施/核定</x:v>
      </x:c>
    </x:row>
    <x:row r="13" ht="51" customHeight="1">
      <x:c r="A13" s="8" t="str">
        <x:v>N09</x:v>
      </x:c>
      <x:c r="B13" s="8" t="str">
        <x:v>多境界扩展§9.4：0.8+0.2×qi，上限2–2.5，qi≥6一律封顶</x:v>
      </x:c>
      <x:c r="C13" s="8" t="str">
        <x:v>qi=6时只有2；上限2.5需qi≥8.5</x:v>
      </x:c>
      <x:c r="D13" s="8" t="str">
        <x:v>写明确切函数与阈值；不同候选不能合成一句确定规则</x:v>
      </x:c>
      <x:c r="E13" s="8" t="str">
        <x:v>待实施/核定</x:v>
      </x:c>
    </x:row>
    <x:row r="14" ht="51" customHeight="1">
      <x:c r="A14" s="9" t="str">
        <x:v>N10</x:v>
      </x:c>
      <x:c r="B14" s="9" t="str">
        <x:v>旧稿物价每100年+8%，称炼气一生经历一次翻倍</x:v>
      </x:c>
      <x:c r="C14" s="9" t="str">
        <x:v>100年仅涨8%；翻倍约900.65年</x:v>
      </x:c>
      <x:c r="D14" s="9" t="str">
        <x:v>修正文案；10000年约2199.76倍，不是温和长期通胀</x:v>
      </x:c>
      <x:c r="E14" s="9" t="str">
        <x:v>待实施/核定</x:v>
      </x:c>
    </x:row>
    <x:row r="15" ht="51" customHeight="1">
      <x:c r="A15" s="8" t="str">
        <x:v>N11</x:v>
      </x:c>
      <x:c r="B15" s="8" t="str">
        <x:v>灵气每500年产出×0.85，跨代长期游玩</x:v>
      </x:c>
      <x:c r="C15" s="8" t="str">
        <x:v>10000年后只余约3.88%，易使世界长期衰竭而无恢复</x:v>
      </x:c>
      <x:c r="D15" s="8" t="str">
        <x:v>用有上下限、可恢复的区域周期或明确末法终局；不要默认无限累乘</x:v>
      </x:c>
      <x:c r="E15" s="8" t="str">
        <x:v>待实施/核定</x:v>
      </x:c>
    </x:row>
    <x:row r="16" ht="51" customHeight="1">
      <x:c r="A16" s="9" t="str">
        <x:v>N12</x:v>
      </x:c>
      <x:c r="B16" s="9" t="str">
        <x:v>原九席表在位1900–4600年，旧路径约8499岁入席、寿限10000</x:v>
      </x:c>
      <x:c r="C16" s="9" t="str">
        <x:v>按该基准只余约1501年，不能套用几千年在位</x:v>
      </x:c>
      <x:c r="D16" s="9" t="str">
        <x:v>逐人核定更早入席、延寿、夺舍与神魂寿限；有代价的例外才成立</x:v>
      </x:c>
      <x:c r="E16" s="9" t="str">
        <x:v>待实施/核定</x:v>
      </x:c>
    </x:row>
    <x:row r="17" ht="51" customHeight="1">
      <x:c r="A17" s="8" t="str">
        <x:v>R01</x:v>
      </x:c>
      <x:c r="B17" s="8" t="str">
        <x:v>设计案硬上限；后续要求去cap；代码仍限制顺势突破</x:v>
      </x:c>
      <x:c r="C17" s="8" t="str">
        <x:v>规则冲突</x:v>
      </x:c>
      <x:c r="D17" s="8" t="str">
        <x:v>以取消绝对封锁为设计方向，代码现状明确记为部分未对齐；不擅自改代码</x:v>
      </x:c>
      <x:c r="E17" s="8" t="str">
        <x:v>待实施/核定</x:v>
      </x:c>
    </x:row>
    <x:row r="18" ht="51" customHeight="1">
      <x:c r="A18" s="9" t="str">
        <x:v>R02</x:v>
      </x:c>
      <x:c r="B18" s="9" t="str">
        <x:v>去cap后仍保留功法受灵根上限限制、低资质终身结局</x:v>
      </x:c>
      <x:c r="C18" s="9" t="str">
        <x:v>规则冲突</x:v>
      </x:c>
      <x:c r="D18" s="9" t="str">
        <x:v>这些衍生规则一并列为待改，不能只删一个判定</x:v>
      </x:c>
      <x:c r="E18" s="9" t="str">
        <x:v>待实施/核定</x:v>
      </x:c>
    </x:row>
    <x:row r="19" ht="51" customHeight="1">
      <x:c r="A19" s="8" t="str">
        <x:v>R03</x:v>
      </x:c>
      <x:c r="B19" s="8" t="str">
        <x:v>0.90–1.00与0.55–1.20两套资质曲线；又称都已验证</x:v>
      </x:c>
      <x:c r="C19" s="8" t="str">
        <x:v>规则冲突</x:v>
      </x:c>
      <x:c r="D19" s="8" t="str">
        <x:v>两套都保留历史出处，最终值待模拟；删除“无需再验证”结论</x:v>
      </x:c>
      <x:c r="E19" s="8" t="str">
        <x:v>待实施/核定</x:v>
      </x:c>
    </x:row>
    <x:row r="20" ht="51" customHeight="1">
      <x:c r="A20" s="9" t="str">
        <x:v>R04</x:v>
      </x:c>
      <x:c r="B20" s="9" t="str">
        <x:v>儒门靠官位且离官跌境，对比后表文脉、不入仕</x:v>
      </x:c>
      <x:c r="C20" s="9" t="str">
        <x:v>规则冲突</x:v>
      </x:c>
      <x:c r="D20" s="9" t="str">
        <x:v>采用较新文脉口径；“不入仕”适用范围及书院自治仍可细化</x:v>
      </x:c>
      <x:c r="E20" s="9" t="str">
        <x:v>待实施/核定</x:v>
      </x:c>
    </x:row>
    <x:row r="21" ht="33" customHeight="1">
      <x:c r="A21" s="8" t="str">
        <x:v>R05</x:v>
      </x:c>
      <x:c r="B21" s="8" t="str">
        <x:v>全世界九席、仅灵界修炼、飞升还需等空席</x:v>
      </x:c>
      <x:c r="C21" s="8" t="str">
        <x:v>规则冲突</x:v>
      </x:c>
      <x:c r="D21" s="8" t="str">
        <x:v>建议进入渡劫占席、飞升释放本席；九眼不等于九席</x:v>
      </x:c>
      <x:c r="E21" s="8" t="str">
        <x:v>待实施/核定</x:v>
      </x:c>
    </x:row>
    <x:row r="22" ht="51" customHeight="1">
      <x:c r="A22" s="9" t="str">
        <x:v>R06</x:v>
      </x:c>
      <x:c r="B22" s="9" t="str">
        <x:v>40与47洞天、3000县观与3240县</x:v>
      </x:c>
      <x:c r="C22" s="9" t="str">
        <x:v>规则冲突</x:v>
      </x:c>
      <x:c r="D22" s="9" t="str">
        <x:v>洞天数量待核；县观不是行政县一对一配置，无须凑3240座</x:v>
      </x:c>
      <x:c r="E22" s="9" t="str">
        <x:v>待实施/核定</x:v>
      </x:c>
    </x:row>
    <x:row r="23" ht="51" customHeight="1">
      <x:c r="A23" s="8" t="str">
        <x:v>R07</x:v>
      </x:c>
      <x:c r="B23" s="8" t="str">
        <x:v>“绝灵根”却能正常修炼；变异既当更高一档又按双灵根</x:v>
      </x:c>
      <x:c r="C23" s="8" t="str">
        <x:v>规则冲突</x:v>
      </x:c>
      <x:c r="D23" s="8" t="str">
        <x:v>建议弱灵根称谓；纯度、属性与变异分别记录</x:v>
      </x:c>
      <x:c r="E23" s="8" t="str">
        <x:v>待实施/核定</x:v>
      </x:c>
    </x:row>
    <x:row r="24" ht="51" customHeight="1">
      <x:c r="A24" s="9" t="str">
        <x:v>R08</x:v>
      </x:c>
      <x:c r="B24" s="9" t="str">
        <x:v>体修不能用任何丹药法器；丹鼎又是低资质出路</x:v>
      </x:c>
      <x:c r="C24" s="9" t="str">
        <x:v>规则冲突</x:v>
      </x:c>
      <x:c r="D24" s="9" t="str">
        <x:v>改为适配与代价，不按道统全面禁用共同资源；具体定案待确认</x:v>
      </x:c>
      <x:c r="E24" s="9" t="str">
        <x:v>待实施/核定</x:v>
      </x:c>
    </x:row>
    <x:row r="25" ht="33" customHeight="1">
      <x:c r="A25" s="8" t="str">
        <x:v>R09</x:v>
      </x:c>
      <x:c r="B25" s="8" t="str">
        <x:v>剑修用寿命越阶，同时宣称越阶只靠外物；体器互克</x:v>
      </x:c>
      <x:c r="C25" s="8" t="str">
        <x:v>规则冲突</x:v>
      </x:c>
      <x:c r="D25" s="8" t="str">
        <x:v>改成条件约束，区分瞬时爆发、持续战力、境界和器阶</x:v>
      </x:c>
      <x:c r="E25" s="8" t="str">
        <x:v>待实施/核定</x:v>
      </x:c>
    </x:row>
    <x:row r="26" ht="51" customHeight="1">
      <x:c r="A26" s="9" t="str">
        <x:v>R10</x:v>
      </x:c>
      <x:c r="B26" s="9" t="str">
        <x:v>普通人抽固定分布，具名人物遵守另一套遗传</x:v>
      </x:c>
      <x:c r="C26" s="9" t="str">
        <x:v>规则冲突</x:v>
      </x:c>
      <x:c r="D26" s="9" t="str">
        <x:v>抽样是模拟简化，不是小说自然法则；稳定人口分布需统一模型</x:v>
      </x:c>
      <x:c r="E26" s="9" t="str">
        <x:v>待实施/核定</x:v>
      </x:c>
    </x:row>
    <x:row r="27" ht="33" customHeight="1">
      <x:c r="A27" s="8" t="str">
        <x:v>R11</x:v>
      </x:c>
      <x:c r="B27" s="8" t="str">
        <x:v>“只在寿尽或飞升传承”与意外身死后接棒</x:v>
      </x:c>
      <x:c r="C27" s="8" t="str">
        <x:v>规则冲突</x:v>
      </x:c>
      <x:c r="D27" s="8" t="str">
        <x:v>明确待核定；不能让突破普通失败误触发换代</x:v>
      </x:c>
      <x:c r="E27" s="8" t="str">
        <x:v>待实施/核定</x:v>
      </x:c>
    </x:row>
    <x:row r="28" ht="51" customHeight="1">
      <x:c r="A28" s="9" t="str">
        <x:v>R12</x:v>
      </x:c>
      <x:c r="B28" s="9" t="str">
        <x:v>仙品物既是进入合体必需，又写合体圆满才需要</x:v>
      </x:c>
      <x:c r="C28" s="9" t="str">
        <x:v>规则冲突</x:v>
      </x:c>
      <x:c r="D28" s="9" t="str">
        <x:v>明确取得资格、制造主持资格、绑定阶段；防止必须先合体才能造、必须先造才能合体的闭环</x:v>
      </x:c>
      <x:c r="E28" s="9" t="str">
        <x:v>待实施/核定</x:v>
      </x:c>
    </x:row>
    <x:row r="29" ht="51" customHeight="1">
      <x:c r="A29" s="8" t="str">
        <x:v>R13</x:v>
      </x:c>
      <x:c r="B29" s="8" t="str">
        <x:v>凡界返回一律每年损失1%，又规定环境低于门槛才衰退</x:v>
      </x:c>
      <x:c r="C29" s="8" t="str">
        <x:v>规则冲突</x:v>
      </x:c>
      <x:c r="D29" s="8" t="str">
        <x:v>按具体环境判断；结丹回到合格山门不应无条件衰退</x:v>
      </x:c>
      <x:c r="E29" s="8" t="str">
        <x:v>待实施/核定</x:v>
      </x:c>
    </x:row>
    <x:row r="30" ht="51" customHeight="1">
      <x:c r="A30" s="9" t="str">
        <x:v>R14</x:v>
      </x:c>
      <x:c r="B30" s="9" t="str">
        <x:v>16岁起修、8岁测灵、8岁起修混用</x:v>
      </x:c>
      <x:c r="C30" s="9" t="str">
        <x:v>规则冲突</x:v>
      </x:c>
      <x:c r="D30" s="9" t="str">
        <x:v>测灵、受教、正式修炼分别记时间；计算表用旧16岁仅供同口径复核</x:v>
      </x:c>
      <x:c r="E30" s="9" t="str">
        <x:v>待实施/核定</x:v>
      </x:c>
    </x:row>
    <x:row r="31" ht="51" customHeight="1">
      <x:c r="A31" s="8" t="str">
        <x:v>R15</x:v>
      </x:c>
      <x:c r="B31" s="8" t="str">
        <x:v>州既地理区又被当成统一行政层级</x:v>
      </x:c>
      <x:c r="C31" s="8" t="str">
        <x:v>规则冲突</x:v>
      </x:c>
      <x:c r="D31" s="8" t="str">
        <x:v>国家/行政上级/地理州分别记录；州府县数量不做平均分配硬规则</x:v>
      </x:c>
      <x:c r="E31" s="8" t="str">
        <x:v>待实施/核定</x:v>
      </x:c>
    </x:row>
  </x:sheetData>
  <x:pageMargins left="0.7" right="0.7" top="0.75" bottom="0.75" header="0.3" footer="0.3"/>
  <x:tableParts count="1">
    <x:tablePart xmlns:r="http://schemas.openxmlformats.org/officeDocument/2006/relationships" r:id="R4ed683452d904fc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.25" hidden="0" customWidth="1"/>
    <x:col min="2" max="2" width="12.5" hidden="0" customWidth="1"/>
    <x:col min="3" max="3" width="38.75" hidden="0" customWidth="1"/>
    <x:col min="4" max="4" width="40" hidden="0" customWidth="1"/>
    <x:col min="5" max="5" width="42.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原29页设定表 · 完整保留位置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2" customHeight="1">
      <x:c r="A4" s="7" t="str">
        <x:v>原工作表</x:v>
      </x:c>
      <x:c r="B4" s="7" t="str">
        <x:v>原行数</x:v>
      </x:c>
      <x:c r="C4" s="7" t="str">
        <x:v>本次处理</x:v>
      </x:c>
      <x:c r="D4" s="7" t="str">
        <x:v>原件</x:v>
      </x:c>
      <x:c r="E4" s="7" t="str">
        <x:v>采用原则</x:v>
      </x:c>
    </x:row>
    <x:row r="5" ht="33" customHeight="1">
      <x:c r="A5" s="8" t="str">
        <x:v>说明与假设</x:v>
      </x:c>
      <x:c r="B5" s="8" t="n">
        <x:v>16</x:v>
      </x:c>
      <x:c r="C5" s="8" t="str">
        <x:v>原件完整归档</x:v>
      </x:c>
      <x:c r="D5" s="8" t="str">
        <x:v>原《问道长生》设定总表.xlsx</x:v>
      </x:c>
      <x:c r="E5" s="8" t="str">
        <x:v>历史候选；有冲突时查总案与问题清单</x:v>
      </x:c>
    </x:row>
    <x:row r="6" ht="33" customHeight="1">
      <x:c r="A6" s="9" t="str">
        <x:v>境界总表</x:v>
      </x:c>
      <x:c r="B6" s="9" t="n">
        <x:v>53</x:v>
      </x:c>
      <x:c r="C6" s="9" t="str">
        <x:v>已提取核心规则或参与复核</x:v>
      </x:c>
      <x:c r="D6" s="9" t="str">
        <x:v>原《问道长生》设定总表.xlsx</x:v>
      </x:c>
      <x:c r="E6" s="9" t="str">
        <x:v>历史候选；有冲突时查总案与问题清单</x:v>
      </x:c>
    </x:row>
    <x:row r="7" ht="33" customHeight="1">
      <x:c r="A7" s="8" t="str">
        <x:v>灵根表</x:v>
      </x:c>
      <x:c r="B7" s="8" t="n">
        <x:v>13</x:v>
      </x:c>
      <x:c r="C7" s="8" t="str">
        <x:v>原件完整归档</x:v>
      </x:c>
      <x:c r="D7" s="8" t="str">
        <x:v>原《问道长生》设定总表.xlsx</x:v>
      </x:c>
      <x:c r="E7" s="8" t="str">
        <x:v>历史候选；有冲突时查总案与问题清单</x:v>
      </x:c>
    </x:row>
    <x:row r="8" ht="33" customHeight="1">
      <x:c r="A8" s="9" t="str">
        <x:v>功法品阶表</x:v>
      </x:c>
      <x:c r="B8" s="9" t="n">
        <x:v>8</x:v>
      </x:c>
      <x:c r="C8" s="9" t="str">
        <x:v>原件完整归档</x:v>
      </x:c>
      <x:c r="D8" s="9" t="str">
        <x:v>原《问道长生》设定总表.xlsx</x:v>
      </x:c>
      <x:c r="E8" s="9" t="str">
        <x:v>历史候选；有冲突时查总案与问题清单</x:v>
      </x:c>
    </x:row>
    <x:row r="9" ht="33" customHeight="1">
      <x:c r="A9" s="8" t="str">
        <x:v>突破判定表</x:v>
      </x:c>
      <x:c r="B9" s="8" t="n">
        <x:v>16</x:v>
      </x:c>
      <x:c r="C9" s="8" t="str">
        <x:v>原件完整归档</x:v>
      </x:c>
      <x:c r="D9" s="8" t="str">
        <x:v>原《问道长生》设定总表.xlsx</x:v>
      </x:c>
      <x:c r="E9" s="8" t="str">
        <x:v>历史候选；有冲突时查总案与问题清单</x:v>
      </x:c>
    </x:row>
    <x:row r="10" ht="33" customHeight="1">
      <x:c r="A10" s="9" t="str">
        <x:v>难度对照表</x:v>
      </x:c>
      <x:c r="B10" s="9" t="n">
        <x:v>10</x:v>
      </x:c>
      <x:c r="C10" s="9" t="str">
        <x:v>原件完整归档</x:v>
      </x:c>
      <x:c r="D10" s="9" t="str">
        <x:v>原《问道长生》设定总表.xlsx</x:v>
      </x:c>
      <x:c r="E10" s="9" t="str">
        <x:v>历史候选；有冲突时查总案与问题清单</x:v>
      </x:c>
    </x:row>
    <x:row r="11" ht="33" customHeight="1">
      <x:c r="A11" s="8" t="str">
        <x:v>开局身份表</x:v>
      </x:c>
      <x:c r="B11" s="8" t="n">
        <x:v>10</x:v>
      </x:c>
      <x:c r="C11" s="8" t="str">
        <x:v>原件完整归档</x:v>
      </x:c>
      <x:c r="D11" s="8" t="str">
        <x:v>原《问道长生》设定总表.xlsx</x:v>
      </x:c>
      <x:c r="E11" s="8" t="str">
        <x:v>历史候选；有冲突时查总案与问题清单</x:v>
      </x:c>
    </x:row>
    <x:row r="12" ht="33" customHeight="1">
      <x:c r="A12" s="9" t="str">
        <x:v>技艺等级表</x:v>
      </x:c>
      <x:c r="B12" s="9" t="n">
        <x:v>7</x:v>
      </x:c>
      <x:c r="C12" s="9" t="str">
        <x:v>原件完整归档</x:v>
      </x:c>
      <x:c r="D12" s="9" t="str">
        <x:v>原《问道长生》设定总表.xlsx</x:v>
      </x:c>
      <x:c r="E12" s="9" t="str">
        <x:v>历史候选；有冲突时查总案与问题清单</x:v>
      </x:c>
    </x:row>
    <x:row r="13" ht="33" customHeight="1">
      <x:c r="A13" s="8" t="str">
        <x:v>丹药法宝表</x:v>
      </x:c>
      <x:c r="B13" s="8" t="n">
        <x:v>27</x:v>
      </x:c>
      <x:c r="C13" s="8" t="str">
        <x:v>原件完整归档</x:v>
      </x:c>
      <x:c r="D13" s="8" t="str">
        <x:v>原《问道长生》设定总表.xlsx</x:v>
      </x:c>
      <x:c r="E13" s="8" t="str">
        <x:v>历史候选；有冲突时查总案与问题清单</x:v>
      </x:c>
    </x:row>
    <x:row r="14" ht="33" customHeight="1">
      <x:c r="A14" s="9" t="str">
        <x:v>因果阵营表</x:v>
      </x:c>
      <x:c r="B14" s="9" t="n">
        <x:v>17</x:v>
      </x:c>
      <x:c r="C14" s="9" t="str">
        <x:v>原件完整归档</x:v>
      </x:c>
      <x:c r="D14" s="9" t="str">
        <x:v>原《问道长生》设定总表.xlsx</x:v>
      </x:c>
      <x:c r="E14" s="9" t="str">
        <x:v>历史候选；有冲突时查总案与问题清单</x:v>
      </x:c>
    </x:row>
    <x:row r="15" ht="33" customHeight="1">
      <x:c r="A15" s="8" t="str">
        <x:v>事件池表</x:v>
      </x:c>
      <x:c r="B15" s="8" t="n">
        <x:v>23</x:v>
      </x:c>
      <x:c r="C15" s="8" t="str">
        <x:v>原件完整归档</x:v>
      </x:c>
      <x:c r="D15" s="8" t="str">
        <x:v>原《问道长生》设定总表.xlsx</x:v>
      </x:c>
      <x:c r="E15" s="8" t="str">
        <x:v>历史候选；有冲突时查总案与问题清单</x:v>
      </x:c>
    </x:row>
    <x:row r="16" ht="33" customHeight="1">
      <x:c r="A16" s="9" t="str">
        <x:v>寿元平衡模拟</x:v>
      </x:c>
      <x:c r="B16" s="9" t="n">
        <x:v>16</x:v>
      </x:c>
      <x:c r="C16" s="9" t="str">
        <x:v>原件完整归档</x:v>
      </x:c>
      <x:c r="D16" s="9" t="str">
        <x:v>原《问道长生》设定总表.xlsx</x:v>
      </x:c>
      <x:c r="E16" s="9" t="str">
        <x:v>历史候选；有冲突时查总案与问题清单</x:v>
      </x:c>
    </x:row>
    <x:row r="17" ht="33" customHeight="1">
      <x:c r="A17" s="8" t="str">
        <x:v>灵根境界上限</x:v>
      </x:c>
      <x:c r="B17" s="8" t="n">
        <x:v>13</x:v>
      </x:c>
      <x:c r="C17" s="8" t="str">
        <x:v>原件完整归档</x:v>
      </x:c>
      <x:c r="D17" s="8" t="str">
        <x:v>原《问道长生》设定总表.xlsx</x:v>
      </x:c>
      <x:c r="E17" s="8" t="str">
        <x:v>历史候选；有冲突时查总案与问题清单</x:v>
      </x:c>
    </x:row>
    <x:row r="18" ht="33" customHeight="1">
      <x:c r="A18" s="9" t="str">
        <x:v>道统与主宗</x:v>
      </x:c>
      <x:c r="B18" s="9" t="n">
        <x:v>12</x:v>
      </x:c>
      <x:c r="C18" s="9" t="str">
        <x:v>原件完整归档</x:v>
      </x:c>
      <x:c r="D18" s="9" t="str">
        <x:v>原《问道长生》设定总表.xlsx</x:v>
      </x:c>
      <x:c r="E18" s="9" t="str">
        <x:v>历史候选；有冲突时查总案与问题清单</x:v>
      </x:c>
    </x:row>
    <x:row r="19" ht="33" customHeight="1">
      <x:c r="A19" s="8" t="str">
        <x:v>渡劫九席</x:v>
      </x:c>
      <x:c r="B19" s="8" t="n">
        <x:v>14</x:v>
      </x:c>
      <x:c r="C19" s="8" t="str">
        <x:v>原件完整归档</x:v>
      </x:c>
      <x:c r="D19" s="8" t="str">
        <x:v>原《问道长生》设定总表.xlsx</x:v>
      </x:c>
      <x:c r="E19" s="8" t="str">
        <x:v>历史候选；有冲突时查总案与问题清单</x:v>
      </x:c>
    </x:row>
    <x:row r="20" ht="33" customHeight="1">
      <x:c r="A20" s="9" t="str">
        <x:v>闭关与时间</x:v>
      </x:c>
      <x:c r="B20" s="9" t="n">
        <x:v>16</x:v>
      </x:c>
      <x:c r="C20" s="9" t="str">
        <x:v>原件完整归档</x:v>
      </x:c>
      <x:c r="D20" s="9" t="str">
        <x:v>原《问道长生》设定总表.xlsx</x:v>
      </x:c>
      <x:c r="E20" s="9" t="str">
        <x:v>历史候选；有冲突时查总案与问题清单</x:v>
      </x:c>
    </x:row>
    <x:row r="21" ht="33" customHeight="1">
      <x:c r="A21" s="8" t="str">
        <x:v>器物器阶</x:v>
      </x:c>
      <x:c r="B21" s="8" t="n">
        <x:v>10</x:v>
      </x:c>
      <x:c r="C21" s="8" t="str">
        <x:v>原件完整归档</x:v>
      </x:c>
      <x:c r="D21" s="8" t="str">
        <x:v>原《问道长生》设定总表.xlsx</x:v>
      </x:c>
      <x:c r="E21" s="8" t="str">
        <x:v>历史候选；有冲突时查总案与问题清单</x:v>
      </x:c>
    </x:row>
    <x:row r="22" ht="33" customHeight="1">
      <x:c r="A22" s="9" t="str">
        <x:v>血脉遗传</x:v>
      </x:c>
      <x:c r="B22" s="9" t="n">
        <x:v>13</x:v>
      </x:c>
      <x:c r="C22" s="9" t="str">
        <x:v>原件完整归档</x:v>
      </x:c>
      <x:c r="D22" s="9" t="str">
        <x:v>原《问道长生》设定总表.xlsx</x:v>
      </x:c>
      <x:c r="E22" s="9" t="str">
        <x:v>历史候选；有冲突时查总案与问题清单</x:v>
      </x:c>
    </x:row>
    <x:row r="23" ht="33" customHeight="1">
      <x:c r="A23" s="8" t="str">
        <x:v>事件规格</x:v>
      </x:c>
      <x:c r="B23" s="8" t="n">
        <x:v>11</x:v>
      </x:c>
      <x:c r="C23" s="8" t="str">
        <x:v>原件完整归档</x:v>
      </x:c>
      <x:c r="D23" s="8" t="str">
        <x:v>原《问道长生》设定总表.xlsx</x:v>
      </x:c>
      <x:c r="E23" s="8" t="str">
        <x:v>历史候选；有冲突时查总案与问题清单</x:v>
      </x:c>
    </x:row>
    <x:row r="24" ht="33" customHeight="1">
      <x:c r="A24" s="9" t="str">
        <x:v>设计案总纲</x:v>
      </x:c>
      <x:c r="B24" s="9" t="n">
        <x:v>25</x:v>
      </x:c>
      <x:c r="C24" s="9" t="str">
        <x:v>原件完整归档</x:v>
      </x:c>
      <x:c r="D24" s="9" t="str">
        <x:v>原《问道长生》设定总表.xlsx</x:v>
      </x:c>
      <x:c r="E24" s="9" t="str">
        <x:v>历史候选；有冲突时查总案与问题清单</x:v>
      </x:c>
    </x:row>
    <x:row r="25" ht="33" customHeight="1">
      <x:c r="A25" s="8" t="str">
        <x:v>灵气门槛与分布</x:v>
      </x:c>
      <x:c r="B25" s="8" t="n">
        <x:v>15</x:v>
      </x:c>
      <x:c r="C25" s="8" t="str">
        <x:v>已提取核心规则或参与复核</x:v>
      </x:c>
      <x:c r="D25" s="8" t="str">
        <x:v>原《问道长生》设定总表.xlsx</x:v>
      </x:c>
      <x:c r="E25" s="8" t="str">
        <x:v>历史候选；有冲突时查总案与问题清单</x:v>
      </x:c>
    </x:row>
    <x:row r="26" ht="33" customHeight="1">
      <x:c r="A26" s="9" t="str">
        <x:v>世界密度</x:v>
      </x:c>
      <x:c r="B26" s="9" t="n">
        <x:v>13</x:v>
      </x:c>
      <x:c r="C26" s="9" t="str">
        <x:v>已提取核心规则或参与复核</x:v>
      </x:c>
      <x:c r="D26" s="9" t="str">
        <x:v>原《问道长生》设定总表.xlsx</x:v>
      </x:c>
      <x:c r="E26" s="9" t="str">
        <x:v>历史候选；有冲突时查总案与问题清单</x:v>
      </x:c>
    </x:row>
    <x:row r="27" ht="33" customHeight="1">
      <x:c r="A27" s="8" t="str">
        <x:v>地点表PLACES</x:v>
      </x:c>
      <x:c r="B27" s="8" t="n">
        <x:v>12</x:v>
      </x:c>
      <x:c r="C27" s="8" t="str">
        <x:v>原件完整归档</x:v>
      </x:c>
      <x:c r="D27" s="8" t="str">
        <x:v>原《问道长生》设定总表.xlsx</x:v>
      </x:c>
      <x:c r="E27" s="8" t="str">
        <x:v>历史候选；有冲突时查总案与问题清单</x:v>
      </x:c>
    </x:row>
    <x:row r="28" ht="33" customHeight="1">
      <x:c r="A28" s="9" t="str">
        <x:v>路程表ROUTES</x:v>
      </x:c>
      <x:c r="B28" s="9" t="n">
        <x:v>12</x:v>
      </x:c>
      <x:c r="C28" s="9" t="str">
        <x:v>原件完整归档</x:v>
      </x:c>
      <x:c r="D28" s="9" t="str">
        <x:v>原《问道长生》设定总表.xlsx</x:v>
      </x:c>
      <x:c r="E28" s="9" t="str">
        <x:v>历史候选；有冲突时查总案与问题清单</x:v>
      </x:c>
    </x:row>
    <x:row r="29" ht="33" customHeight="1">
      <x:c r="A29" s="8" t="str">
        <x:v>人物表NPCS</x:v>
      </x:c>
      <x:c r="B29" s="8" t="n">
        <x:v>24</x:v>
      </x:c>
      <x:c r="C29" s="8" t="str">
        <x:v>原件完整归档</x:v>
      </x:c>
      <x:c r="D29" s="8" t="str">
        <x:v>原《问道长生》设定总表.xlsx</x:v>
      </x:c>
      <x:c r="E29" s="8" t="str">
        <x:v>历史候选；有冲突时查总案与问题清单</x:v>
      </x:c>
    </x:row>
    <x:row r="30" ht="33" customHeight="1">
      <x:c r="A30" s="9" t="str">
        <x:v>地图设定</x:v>
      </x:c>
      <x:c r="B30" s="9" t="n">
        <x:v>19</x:v>
      </x:c>
      <x:c r="C30" s="9" t="str">
        <x:v>已提取核心规则或参与复核</x:v>
      </x:c>
      <x:c r="D30" s="9" t="str">
        <x:v>原《问道长生》设定总表.xlsx</x:v>
      </x:c>
      <x:c r="E30" s="9" t="str">
        <x:v>历史候选；有冲突时查总案与问题清单</x:v>
      </x:c>
    </x:row>
    <x:row r="31" ht="33" customHeight="1">
      <x:c r="A31" s="8" t="str">
        <x:v>宗门与政体</x:v>
      </x:c>
      <x:c r="B31" s="8" t="n">
        <x:v>15</x:v>
      </x:c>
      <x:c r="C31" s="8" t="str">
        <x:v>已提取核心规则或参与复核</x:v>
      </x:c>
      <x:c r="D31" s="8" t="str">
        <x:v>原《问道长生》设定总表.xlsx</x:v>
      </x:c>
      <x:c r="E31" s="8" t="str">
        <x:v>历史候选；有冲突时查总案与问题清单</x:v>
      </x:c>
    </x:row>
    <x:row r="32" ht="33" customHeight="1">
      <x:c r="A32" s="9" t="str">
        <x:v>时间与距离</x:v>
      </x:c>
      <x:c r="B32" s="9" t="n">
        <x:v>15</x:v>
      </x:c>
      <x:c r="C32" s="9" t="str">
        <x:v>已提取核心规则或参与复核</x:v>
      </x:c>
      <x:c r="D32" s="9" t="str">
        <x:v>原《问道长生》设定总表.xlsx</x:v>
      </x:c>
      <x:c r="E32" s="9" t="str">
        <x:v>历史候选；有冲突时查总案与问题清单</x:v>
      </x:c>
    </x:row>
    <x:row r="33" ht="33" customHeight="1">
      <x:c r="A33" s="8" t="str">
        <x:v>执行进度</x:v>
      </x:c>
      <x:c r="B33" s="8" t="n">
        <x:v>12</x:v>
      </x:c>
      <x:c r="C33" s="8" t="str">
        <x:v>原件完整归档</x:v>
      </x:c>
      <x:c r="D33" s="8" t="str">
        <x:v>原《问道长生》设定总表.xlsx</x:v>
      </x:c>
      <x:c r="E33" s="8" t="str">
        <x:v>历史候选；有冲突时查总案与问题清单</x:v>
      </x:c>
    </x:row>
  </x:sheetData>
  <x:pageMargins left="0.7" right="0.7" top="0.75" bottom="0.75" header="0.3" footer="0.3"/>
  <x:tableParts count="1">
    <x:tablePart xmlns:r="http://schemas.openxmlformats.org/officeDocument/2006/relationships" r:id="R69d2be78782e40ce"/>
  </x:tableParts>
</x:worksheet>
</file>